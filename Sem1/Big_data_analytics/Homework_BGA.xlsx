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TXSA0424\Desktop\"/>
    </mc:Choice>
  </mc:AlternateContent>
  <xr:revisionPtr revIDLastSave="0" documentId="8_{28BA377A-87F7-4523-83ED-9B1A6A1385AD}" xr6:coauthVersionLast="47" xr6:coauthVersionMax="47" xr10:uidLastSave="{00000000-0000-0000-0000-000000000000}"/>
  <bookViews>
    <workbookView xWindow="-108" yWindow="-108" windowWidth="23256" windowHeight="9120" xr2:uid="{00000000-000D-0000-FFFF-FFFF00000000}"/>
  </bookViews>
  <sheets>
    <sheet name="Data" sheetId="1" r:id="rId1"/>
    <sheet name="Results" sheetId="2" r:id="rId2"/>
    <sheet name="Residuals" sheetId="3" r:id="rId3"/>
    <sheet name="Correl" sheetId="5" r:id="rId4"/>
    <sheet name="Partial F" sheetId="4" r:id="rId5"/>
  </sheets>
  <definedNames>
    <definedName name="B">MMULT(XtXinv,MMULT(TRANSPOSE(MatX),Y))</definedName>
    <definedName name="Errors">Y-Yhat</definedName>
    <definedName name="GX">OFFSET(Results!$B$22:$L$22,0,0,1,k+1)</definedName>
    <definedName name="k">COLUMNS(X)</definedName>
    <definedName name="MatX">OFFSET(X,0,-1,n,k+1)</definedName>
    <definedName name="MSE">Results!$E$15</definedName>
    <definedName name="n">ROWS(X)</definedName>
    <definedName name="_xlnm.Print_Area" localSheetId="3">Correl!$A$1:$L$16</definedName>
    <definedName name="_xlnm.Print_Area" localSheetId="4">'Partial F'!$A$1:$F$10</definedName>
    <definedName name="_xlnm.Print_Area" localSheetId="2">Residuals!$A$1:$R$41</definedName>
    <definedName name="_xlnm.Print_Area" localSheetId="1">Results!$A$1:$M$26</definedName>
    <definedName name="Q">OFFSET(Residuals!$C$4,0,0,n,1)</definedName>
    <definedName name="s">Results!$J$14</definedName>
    <definedName name="S2B">MSE*XtXinv</definedName>
    <definedName name="X">OFFSET(Data!$D$5,0,0,COUNT(Data!$D$5:$D$204),COUNT(Data!$D$5:$M$5))</definedName>
    <definedName name="X_Axis">Residuals!$P$1:$P$200</definedName>
    <definedName name="XR">OFFSET(X,0,0,n,'Partial F'!$D$3-'Partial F'!$D$4)</definedName>
    <definedName name="XtXinv">MINVERSE(MMULT(TRANSPOSE(MatX),MatX))</definedName>
    <definedName name="Y">OFFSET(Data!$B$5,0,0,COUNT(Data!$B$5:$B$204),1)</definedName>
    <definedName name="Yhat">MMULT(MatX,B)</definedName>
    <definedName name="Z">OFFSET(Residuals!$D$4,0,0,n,1)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2" l="1"/>
  <c r="E1" i="5"/>
  <c r="C4" i="5"/>
  <c r="B5" i="5" s="1"/>
  <c r="D4" i="5"/>
  <c r="D16" i="5" s="1"/>
  <c r="E4" i="5"/>
  <c r="E16" i="5" s="1"/>
  <c r="F4" i="5"/>
  <c r="B8" i="5" s="1"/>
  <c r="G4" i="5"/>
  <c r="H4" i="5"/>
  <c r="I4" i="5"/>
  <c r="B11" i="5" s="1"/>
  <c r="I11" i="5" s="1"/>
  <c r="J4" i="5"/>
  <c r="K4" i="5"/>
  <c r="L4" i="5"/>
  <c r="L16" i="5" s="1"/>
  <c r="B7" i="5"/>
  <c r="B12" i="5"/>
  <c r="I12" i="5" s="1"/>
  <c r="B13" i="5"/>
  <c r="B14" i="5"/>
  <c r="B16" i="5"/>
  <c r="F16" i="5"/>
  <c r="J16" i="5"/>
  <c r="K16" i="5"/>
  <c r="AB1" i="1"/>
  <c r="AC1" i="1"/>
  <c r="AD1" i="1"/>
  <c r="AE1" i="1"/>
  <c r="AF1" i="1"/>
  <c r="AG1" i="1"/>
  <c r="AH1" i="1"/>
  <c r="AI1" i="1"/>
  <c r="AJ1" i="1"/>
  <c r="AK1" i="1"/>
  <c r="AL1" i="1"/>
  <c r="AM1" i="1"/>
  <c r="AN1" i="1"/>
  <c r="W3" i="1"/>
  <c r="W4" i="1" s="1" a="1"/>
  <c r="W9" i="1" s="1"/>
  <c r="X3" i="1"/>
  <c r="X4" i="1" s="1" a="1"/>
  <c r="X54" i="1" s="1"/>
  <c r="Y3" i="1"/>
  <c r="Y4" i="1" s="1" a="1"/>
  <c r="Y53" i="1" s="1"/>
  <c r="Z3" i="1"/>
  <c r="Z4" i="1" s="1" a="1"/>
  <c r="Z8" i="1" s="1"/>
  <c r="AA3" i="1"/>
  <c r="AA4" i="1" s="1" a="1"/>
  <c r="AA13" i="1" s="1"/>
  <c r="AB3" i="1"/>
  <c r="AB4" i="1" s="1" a="1"/>
  <c r="AB30" i="1" s="1"/>
  <c r="AC3" i="1"/>
  <c r="AC4" i="1" s="1" a="1"/>
  <c r="AC53" i="1" s="1"/>
  <c r="AD3" i="1"/>
  <c r="AD4" i="1" s="1" a="1"/>
  <c r="AD38" i="1" s="1"/>
  <c r="AE3" i="1"/>
  <c r="AE4" i="1" s="1" a="1"/>
  <c r="AE45" i="1" s="1"/>
  <c r="AF3" i="1"/>
  <c r="AF4" i="1" s="1" a="1"/>
  <c r="AF68" i="1" s="1"/>
  <c r="AG3" i="1"/>
  <c r="AG4" i="1" s="1" a="1"/>
  <c r="AG68" i="1" s="1"/>
  <c r="AH3" i="1"/>
  <c r="AH4" i="1" s="1" a="1"/>
  <c r="AH20" i="1" s="1"/>
  <c r="AI3" i="1"/>
  <c r="AI4" i="1" s="1" a="1"/>
  <c r="AI5" i="1" s="1"/>
  <c r="AJ3" i="1"/>
  <c r="AJ4" i="1" s="1" a="1"/>
  <c r="AK3" i="1"/>
  <c r="AK4" i="1" s="1" a="1"/>
  <c r="AK7" i="1" s="1"/>
  <c r="AL3" i="1"/>
  <c r="AL4" i="1" s="1" a="1"/>
  <c r="AL10" i="1" s="1"/>
  <c r="AM3" i="1"/>
  <c r="AM4" i="1" s="1" a="1"/>
  <c r="AM108" i="1" s="1"/>
  <c r="AN3" i="1"/>
  <c r="AN4" i="1" s="1" a="1"/>
  <c r="AN51" i="1" s="1"/>
  <c r="V4" i="1" a="1"/>
  <c r="V38" i="1" s="1"/>
  <c r="C5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C6" i="1"/>
  <c r="L5" i="2" s="1"/>
  <c r="L7" i="2" s="1"/>
  <c r="L8" i="2" s="1"/>
  <c r="C7" i="1"/>
  <c r="C8" i="1"/>
  <c r="C9" i="1"/>
  <c r="E5" i="2" s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A204" i="1"/>
  <c r="C204" i="1"/>
  <c r="C1" i="4"/>
  <c r="D3" i="4"/>
  <c r="C7" i="4" s="1"/>
  <c r="H1" i="3"/>
  <c r="N1" i="3"/>
  <c r="P1" i="3" a="1"/>
  <c r="P1" i="3" s="1"/>
  <c r="N2" i="3" a="1"/>
  <c r="N2" i="3" s="1"/>
  <c r="F1" i="2"/>
  <c r="C4" i="2"/>
  <c r="C21" i="2" s="1"/>
  <c r="D4" i="2"/>
  <c r="D21" i="2" s="1"/>
  <c r="E4" i="2"/>
  <c r="E21" i="2" s="1"/>
  <c r="F4" i="2"/>
  <c r="F21" i="2" s="1"/>
  <c r="G4" i="2"/>
  <c r="G21" i="2" s="1"/>
  <c r="I4" i="2"/>
  <c r="J4" i="2"/>
  <c r="K4" i="2"/>
  <c r="L4" i="2"/>
  <c r="L21" i="2" s="1"/>
  <c r="I10" i="2"/>
  <c r="J10" i="2"/>
  <c r="K10" i="2"/>
  <c r="L10" i="2"/>
  <c r="D14" i="2"/>
  <c r="D15" i="2"/>
  <c r="C16" i="2"/>
  <c r="D16" i="2"/>
  <c r="H21" i="2"/>
  <c r="I21" i="2"/>
  <c r="J21" i="2"/>
  <c r="K21" i="2"/>
  <c r="C25" i="2"/>
  <c r="H25" i="2" s="1"/>
  <c r="AC118" i="1" l="1"/>
  <c r="AC71" i="1"/>
  <c r="AC64" i="1"/>
  <c r="AC141" i="1"/>
  <c r="AC110" i="1"/>
  <c r="AC104" i="1"/>
  <c r="AC76" i="1"/>
  <c r="C5" i="2"/>
  <c r="I16" i="5"/>
  <c r="F5" i="2"/>
  <c r="J12" i="5"/>
  <c r="AC48" i="1"/>
  <c r="AC87" i="1"/>
  <c r="AA130" i="1"/>
  <c r="AA93" i="1"/>
  <c r="AA109" i="1"/>
  <c r="AA98" i="1"/>
  <c r="AA81" i="1"/>
  <c r="AA76" i="1"/>
  <c r="AA156" i="1"/>
  <c r="AA115" i="1"/>
  <c r="AI59" i="1"/>
  <c r="AI48" i="1"/>
  <c r="AI35" i="1"/>
  <c r="AA21" i="1"/>
  <c r="AA185" i="1"/>
  <c r="AA86" i="1"/>
  <c r="AI69" i="1"/>
  <c r="AA59" i="1"/>
  <c r="AA27" i="1"/>
  <c r="AA192" i="1"/>
  <c r="AA69" i="1"/>
  <c r="AA52" i="1"/>
  <c r="AA195" i="1"/>
  <c r="AA165" i="1"/>
  <c r="AA158" i="1"/>
  <c r="AA106" i="1"/>
  <c r="AA89" i="1"/>
  <c r="AA78" i="1"/>
  <c r="AA73" i="1"/>
  <c r="AA19" i="1"/>
  <c r="AA180" i="1"/>
  <c r="AA161" i="1"/>
  <c r="AI124" i="1"/>
  <c r="AA62" i="1"/>
  <c r="AI57" i="1"/>
  <c r="AA51" i="1"/>
  <c r="AA46" i="1"/>
  <c r="AA5" i="1"/>
  <c r="AA127" i="1"/>
  <c r="AA113" i="1"/>
  <c r="AA105" i="1"/>
  <c r="AA99" i="1"/>
  <c r="AI93" i="1"/>
  <c r="AA88" i="1"/>
  <c r="AI67" i="1"/>
  <c r="AI56" i="1"/>
  <c r="AA182" i="1"/>
  <c r="AA171" i="1"/>
  <c r="AA164" i="1"/>
  <c r="AA146" i="1"/>
  <c r="AA139" i="1"/>
  <c r="AA121" i="1"/>
  <c r="AA118" i="1"/>
  <c r="AA91" i="1"/>
  <c r="AA65" i="1"/>
  <c r="AA56" i="1"/>
  <c r="AA188" i="1"/>
  <c r="AI83" i="1"/>
  <c r="AI73" i="1"/>
  <c r="AI46" i="1"/>
  <c r="AA201" i="1"/>
  <c r="AI150" i="1"/>
  <c r="AI55" i="1"/>
  <c r="AI50" i="1"/>
  <c r="AA204" i="1"/>
  <c r="AA197" i="1"/>
  <c r="AA194" i="1"/>
  <c r="AA184" i="1"/>
  <c r="AA181" i="1"/>
  <c r="AA153" i="1"/>
  <c r="AI146" i="1"/>
  <c r="AA143" i="1"/>
  <c r="AA129" i="1"/>
  <c r="AA126" i="1"/>
  <c r="AA123" i="1"/>
  <c r="AA117" i="1"/>
  <c r="AA114" i="1"/>
  <c r="AA102" i="1"/>
  <c r="AA97" i="1"/>
  <c r="AA82" i="1"/>
  <c r="AA58" i="1"/>
  <c r="N7" i="3"/>
  <c r="C13" i="5"/>
  <c r="AA189" i="1"/>
  <c r="AA186" i="1"/>
  <c r="AA177" i="1"/>
  <c r="AA163" i="1"/>
  <c r="AA160" i="1"/>
  <c r="AA157" i="1"/>
  <c r="AA154" i="1"/>
  <c r="AA151" i="1"/>
  <c r="AA145" i="1"/>
  <c r="AA135" i="1"/>
  <c r="AI81" i="1"/>
  <c r="AI72" i="1"/>
  <c r="C16" i="5"/>
  <c r="AC108" i="1"/>
  <c r="AA175" i="1"/>
  <c r="AA168" i="1"/>
  <c r="AC162" i="1"/>
  <c r="AA147" i="1"/>
  <c r="AA122" i="1"/>
  <c r="AA119" i="1"/>
  <c r="AC102" i="1"/>
  <c r="AA83" i="1"/>
  <c r="AA79" i="1"/>
  <c r="AA57" i="1"/>
  <c r="AI53" i="1"/>
  <c r="AA49" i="1"/>
  <c r="AI145" i="1"/>
  <c r="AI132" i="1"/>
  <c r="AI97" i="1"/>
  <c r="AC80" i="1"/>
  <c r="AC66" i="1"/>
  <c r="AA50" i="1"/>
  <c r="AA45" i="1"/>
  <c r="AI118" i="1"/>
  <c r="AI104" i="1"/>
  <c r="AI96" i="1"/>
  <c r="AI90" i="1"/>
  <c r="AI76" i="1"/>
  <c r="AI71" i="1"/>
  <c r="AI63" i="1"/>
  <c r="AB182" i="1"/>
  <c r="AA203" i="1"/>
  <c r="AA200" i="1"/>
  <c r="AA172" i="1"/>
  <c r="AA169" i="1"/>
  <c r="AA166" i="1"/>
  <c r="AC146" i="1"/>
  <c r="AA141" i="1"/>
  <c r="AA138" i="1"/>
  <c r="AA100" i="1"/>
  <c r="AA95" i="1"/>
  <c r="AA87" i="1"/>
  <c r="AA84" i="1"/>
  <c r="AA74" i="1"/>
  <c r="AA72" i="1"/>
  <c r="AA67" i="1"/>
  <c r="AI51" i="1"/>
  <c r="AI49" i="1"/>
  <c r="AI47" i="1"/>
  <c r="AI41" i="1"/>
  <c r="AA202" i="1"/>
  <c r="AA193" i="1"/>
  <c r="AA190" i="1"/>
  <c r="AA179" i="1"/>
  <c r="AA176" i="1"/>
  <c r="AA173" i="1"/>
  <c r="AA159" i="1"/>
  <c r="AA137" i="1"/>
  <c r="AA134" i="1"/>
  <c r="AA131" i="1"/>
  <c r="AI100" i="1"/>
  <c r="AI87" i="1"/>
  <c r="AA85" i="1"/>
  <c r="AA63" i="1"/>
  <c r="AA60" i="1"/>
  <c r="AA53" i="1"/>
  <c r="AA44" i="1"/>
  <c r="AA41" i="1"/>
  <c r="AB153" i="1"/>
  <c r="W195" i="1"/>
  <c r="W153" i="1"/>
  <c r="W89" i="1"/>
  <c r="W173" i="1"/>
  <c r="AI152" i="1"/>
  <c r="AI142" i="1"/>
  <c r="W120" i="1"/>
  <c r="AI101" i="1"/>
  <c r="AI77" i="1"/>
  <c r="AI43" i="1"/>
  <c r="AA199" i="1"/>
  <c r="AA196" i="1"/>
  <c r="AA191" i="1"/>
  <c r="AA183" i="1"/>
  <c r="AA178" i="1"/>
  <c r="AA170" i="1"/>
  <c r="AA162" i="1"/>
  <c r="AA149" i="1"/>
  <c r="AA142" i="1"/>
  <c r="AA125" i="1"/>
  <c r="AA101" i="1"/>
  <c r="AA77" i="1"/>
  <c r="AA75" i="1"/>
  <c r="AA71" i="1"/>
  <c r="AA66" i="1"/>
  <c r="AA61" i="1"/>
  <c r="AA54" i="1"/>
  <c r="AA43" i="1"/>
  <c r="AA29" i="1"/>
  <c r="AI9" i="1"/>
  <c r="W184" i="1"/>
  <c r="W149" i="1"/>
  <c r="W81" i="1"/>
  <c r="W201" i="1"/>
  <c r="W190" i="1"/>
  <c r="W170" i="1"/>
  <c r="W159" i="1"/>
  <c r="W136" i="1"/>
  <c r="AB126" i="1"/>
  <c r="W110" i="1"/>
  <c r="W105" i="1"/>
  <c r="W103" i="1"/>
  <c r="W87" i="1"/>
  <c r="W78" i="1"/>
  <c r="W67" i="1"/>
  <c r="W65" i="1"/>
  <c r="AB61" i="1"/>
  <c r="W31" i="1"/>
  <c r="W203" i="1"/>
  <c r="W192" i="1"/>
  <c r="W179" i="1"/>
  <c r="W165" i="1"/>
  <c r="W161" i="1"/>
  <c r="W154" i="1"/>
  <c r="W140" i="1"/>
  <c r="W131" i="1"/>
  <c r="W99" i="1"/>
  <c r="W72" i="1"/>
  <c r="W21" i="1"/>
  <c r="AA198" i="1"/>
  <c r="W196" i="1"/>
  <c r="AA187" i="1"/>
  <c r="W185" i="1"/>
  <c r="W181" i="1"/>
  <c r="AA174" i="1"/>
  <c r="AA167" i="1"/>
  <c r="AE162" i="1"/>
  <c r="W156" i="1"/>
  <c r="AB152" i="1"/>
  <c r="AA150" i="1"/>
  <c r="W146" i="1"/>
  <c r="W142" i="1"/>
  <c r="AI137" i="1"/>
  <c r="AA133" i="1"/>
  <c r="W128" i="1"/>
  <c r="AI121" i="1"/>
  <c r="W117" i="1"/>
  <c r="AA94" i="1"/>
  <c r="AA92" i="1"/>
  <c r="AA90" i="1"/>
  <c r="W88" i="1"/>
  <c r="W84" i="1"/>
  <c r="AA70" i="1"/>
  <c r="AA68" i="1"/>
  <c r="AI62" i="1"/>
  <c r="W61" i="1"/>
  <c r="W57" i="1"/>
  <c r="AA55" i="1"/>
  <c r="W53" i="1"/>
  <c r="W49" i="1"/>
  <c r="AA47" i="1"/>
  <c r="W45" i="1"/>
  <c r="AA15" i="1"/>
  <c r="AA9" i="1"/>
  <c r="W198" i="1"/>
  <c r="W187" i="1"/>
  <c r="W152" i="1"/>
  <c r="AE137" i="1"/>
  <c r="W92" i="1"/>
  <c r="W70" i="1"/>
  <c r="W68" i="1"/>
  <c r="AE62" i="1"/>
  <c r="W33" i="1"/>
  <c r="W25" i="1"/>
  <c r="W200" i="1"/>
  <c r="W189" i="1"/>
  <c r="AE182" i="1"/>
  <c r="W176" i="1"/>
  <c r="W147" i="1"/>
  <c r="W123" i="1"/>
  <c r="W111" i="1"/>
  <c r="W96" i="1"/>
  <c r="W168" i="1"/>
  <c r="AE154" i="1"/>
  <c r="W145" i="1"/>
  <c r="W134" i="1"/>
  <c r="W113" i="1"/>
  <c r="W108" i="1"/>
  <c r="AE103" i="1"/>
  <c r="W93" i="1"/>
  <c r="W71" i="1"/>
  <c r="AE41" i="1"/>
  <c r="W17" i="1"/>
  <c r="W193" i="1"/>
  <c r="W178" i="1"/>
  <c r="W162" i="1"/>
  <c r="W143" i="1"/>
  <c r="W137" i="1"/>
  <c r="W125" i="1"/>
  <c r="W116" i="1"/>
  <c r="W102" i="1"/>
  <c r="W75" i="1"/>
  <c r="W62" i="1"/>
  <c r="W58" i="1"/>
  <c r="AE39" i="1"/>
  <c r="AC189" i="1"/>
  <c r="AC137" i="1"/>
  <c r="AC116" i="1"/>
  <c r="AC114" i="1"/>
  <c r="AC90" i="1"/>
  <c r="AC85" i="1"/>
  <c r="AC74" i="1"/>
  <c r="AC51" i="1"/>
  <c r="AC46" i="1"/>
  <c r="AC35" i="1"/>
  <c r="AC201" i="1"/>
  <c r="AC194" i="1"/>
  <c r="AC182" i="1"/>
  <c r="AC177" i="1"/>
  <c r="AC97" i="1"/>
  <c r="AC192" i="1"/>
  <c r="AC187" i="1"/>
  <c r="AC175" i="1"/>
  <c r="AC173" i="1"/>
  <c r="AC160" i="1"/>
  <c r="AC156" i="1"/>
  <c r="AC154" i="1"/>
  <c r="AC147" i="1"/>
  <c r="AC135" i="1"/>
  <c r="AC131" i="1"/>
  <c r="AC129" i="1"/>
  <c r="AC127" i="1"/>
  <c r="AC123" i="1"/>
  <c r="AC93" i="1"/>
  <c r="AC88" i="1"/>
  <c r="AC83" i="1"/>
  <c r="AC72" i="1"/>
  <c r="AC62" i="1"/>
  <c r="AC59" i="1"/>
  <c r="AC56" i="1"/>
  <c r="AC44" i="1"/>
  <c r="AC195" i="1"/>
  <c r="AB190" i="1"/>
  <c r="AC183" i="1"/>
  <c r="AC178" i="1"/>
  <c r="AC140" i="1"/>
  <c r="AC117" i="1"/>
  <c r="AC111" i="1"/>
  <c r="AC109" i="1"/>
  <c r="AC107" i="1"/>
  <c r="AC103" i="1"/>
  <c r="AC98" i="1"/>
  <c r="AC91" i="1"/>
  <c r="AB75" i="1"/>
  <c r="AC63" i="1"/>
  <c r="AC57" i="1"/>
  <c r="AC52" i="1"/>
  <c r="AC47" i="1"/>
  <c r="AE31" i="1"/>
  <c r="W29" i="1"/>
  <c r="AC202" i="1"/>
  <c r="AC193" i="1"/>
  <c r="AC176" i="1"/>
  <c r="AC161" i="1"/>
  <c r="AC143" i="1"/>
  <c r="AC115" i="1"/>
  <c r="AC113" i="1"/>
  <c r="AC94" i="1"/>
  <c r="AC89" i="1"/>
  <c r="AC86" i="1"/>
  <c r="AC70" i="1"/>
  <c r="AC60" i="1"/>
  <c r="AC45" i="1"/>
  <c r="AC31" i="1"/>
  <c r="AC180" i="1"/>
  <c r="AC67" i="1"/>
  <c r="AC200" i="1"/>
  <c r="AC198" i="1"/>
  <c r="AC188" i="1"/>
  <c r="AC181" i="1"/>
  <c r="AC174" i="1"/>
  <c r="AC159" i="1"/>
  <c r="AC157" i="1"/>
  <c r="AC152" i="1"/>
  <c r="AC145" i="1"/>
  <c r="AC136" i="1"/>
  <c r="AC134" i="1"/>
  <c r="AC128" i="1"/>
  <c r="AC126" i="1"/>
  <c r="AC101" i="1"/>
  <c r="AC96" i="1"/>
  <c r="AC82" i="1"/>
  <c r="AC58" i="1"/>
  <c r="AC50" i="1"/>
  <c r="AC39" i="1"/>
  <c r="AC33" i="1"/>
  <c r="AC7" i="1"/>
  <c r="AC197" i="1"/>
  <c r="AC190" i="1"/>
  <c r="AC171" i="1"/>
  <c r="AC167" i="1"/>
  <c r="AC163" i="1"/>
  <c r="AC151" i="1"/>
  <c r="AC142" i="1"/>
  <c r="AC138" i="1"/>
  <c r="AC121" i="1"/>
  <c r="AC119" i="1"/>
  <c r="AC100" i="1"/>
  <c r="AC81" i="1"/>
  <c r="AC77" i="1"/>
  <c r="AC54" i="1"/>
  <c r="AC37" i="1"/>
  <c r="AC196" i="1"/>
  <c r="AC191" i="1"/>
  <c r="AC186" i="1"/>
  <c r="AC184" i="1"/>
  <c r="AC179" i="1"/>
  <c r="AC172" i="1"/>
  <c r="AC170" i="1"/>
  <c r="AC166" i="1"/>
  <c r="AC164" i="1"/>
  <c r="AC153" i="1"/>
  <c r="AC148" i="1"/>
  <c r="AC132" i="1"/>
  <c r="AC120" i="1"/>
  <c r="AC106" i="1"/>
  <c r="AC99" i="1"/>
  <c r="AC92" i="1"/>
  <c r="AC61" i="1"/>
  <c r="AC55" i="1"/>
  <c r="AC43" i="1"/>
  <c r="AC41" i="1"/>
  <c r="AC11" i="1"/>
  <c r="AE138" i="1"/>
  <c r="AE129" i="1"/>
  <c r="AE121" i="1"/>
  <c r="AE114" i="1"/>
  <c r="AE111" i="1"/>
  <c r="AE106" i="1"/>
  <c r="AE63" i="1"/>
  <c r="AE50" i="1"/>
  <c r="AE46" i="1"/>
  <c r="AE33" i="1"/>
  <c r="AE25" i="1"/>
  <c r="AE21" i="1"/>
  <c r="AE163" i="1"/>
  <c r="AE94" i="1"/>
  <c r="AE82" i="1"/>
  <c r="AE79" i="1"/>
  <c r="AE59" i="1"/>
  <c r="AE51" i="1"/>
  <c r="AE47" i="1"/>
  <c r="AE43" i="1"/>
  <c r="AE37" i="1"/>
  <c r="AE35" i="1"/>
  <c r="AE17" i="1"/>
  <c r="AE13" i="1"/>
  <c r="AE9" i="1"/>
  <c r="F14" i="5"/>
  <c r="D14" i="5"/>
  <c r="D7" i="5"/>
  <c r="N6" i="3"/>
  <c r="W204" i="1"/>
  <c r="W199" i="1"/>
  <c r="W182" i="1"/>
  <c r="W174" i="1"/>
  <c r="W171" i="1"/>
  <c r="W166" i="1"/>
  <c r="AE164" i="1"/>
  <c r="W157" i="1"/>
  <c r="W150" i="1"/>
  <c r="W148" i="1"/>
  <c r="AB144" i="1"/>
  <c r="AE139" i="1"/>
  <c r="W138" i="1"/>
  <c r="W132" i="1"/>
  <c r="AE130" i="1"/>
  <c r="W129" i="1"/>
  <c r="W126" i="1"/>
  <c r="W124" i="1"/>
  <c r="W121" i="1"/>
  <c r="AE119" i="1"/>
  <c r="W114" i="1"/>
  <c r="AE107" i="1"/>
  <c r="W106" i="1"/>
  <c r="W100" i="1"/>
  <c r="W97" i="1"/>
  <c r="AE95" i="1"/>
  <c r="AE91" i="1"/>
  <c r="W85" i="1"/>
  <c r="AE83" i="1"/>
  <c r="W79" i="1"/>
  <c r="W76" i="1"/>
  <c r="W73" i="1"/>
  <c r="AE70" i="1"/>
  <c r="W63" i="1"/>
  <c r="W54" i="1"/>
  <c r="W50" i="1"/>
  <c r="W46" i="1"/>
  <c r="W37" i="1"/>
  <c r="W35" i="1"/>
  <c r="AE27" i="1"/>
  <c r="W5" i="1"/>
  <c r="C14" i="5"/>
  <c r="W194" i="1"/>
  <c r="AE192" i="1"/>
  <c r="W191" i="1"/>
  <c r="W188" i="1"/>
  <c r="W183" i="1"/>
  <c r="W177" i="1"/>
  <c r="W169" i="1"/>
  <c r="AB167" i="1"/>
  <c r="W163" i="1"/>
  <c r="W155" i="1"/>
  <c r="AB151" i="1"/>
  <c r="AE145" i="1"/>
  <c r="W144" i="1"/>
  <c r="W141" i="1"/>
  <c r="W122" i="1"/>
  <c r="AE112" i="1"/>
  <c r="W109" i="1"/>
  <c r="W104" i="1"/>
  <c r="AE102" i="1"/>
  <c r="AB95" i="1"/>
  <c r="W94" i="1"/>
  <c r="AE87" i="1"/>
  <c r="AB86" i="1"/>
  <c r="W82" i="1"/>
  <c r="W69" i="1"/>
  <c r="AE67" i="1"/>
  <c r="W66" i="1"/>
  <c r="W64" i="1"/>
  <c r="W59" i="1"/>
  <c r="AB56" i="1"/>
  <c r="AB55" i="1"/>
  <c r="W51" i="1"/>
  <c r="W47" i="1"/>
  <c r="W43" i="1"/>
  <c r="W39" i="1"/>
  <c r="AE23" i="1"/>
  <c r="AE160" i="1"/>
  <c r="AE144" i="1"/>
  <c r="AE118" i="1"/>
  <c r="AE115" i="1"/>
  <c r="AE90" i="1"/>
  <c r="AE86" i="1"/>
  <c r="AE55" i="1"/>
  <c r="W202" i="1"/>
  <c r="W197" i="1"/>
  <c r="W180" i="1"/>
  <c r="W160" i="1"/>
  <c r="AE153" i="1"/>
  <c r="AE152" i="1"/>
  <c r="AE146" i="1"/>
  <c r="W139" i="1"/>
  <c r="AI136" i="1"/>
  <c r="W135" i="1"/>
  <c r="W130" i="1"/>
  <c r="W127" i="1"/>
  <c r="W118" i="1"/>
  <c r="AI116" i="1"/>
  <c r="W115" i="1"/>
  <c r="W112" i="1"/>
  <c r="AE110" i="1"/>
  <c r="W107" i="1"/>
  <c r="W101" i="1"/>
  <c r="W98" i="1"/>
  <c r="AI92" i="1"/>
  <c r="W90" i="1"/>
  <c r="AI88" i="1"/>
  <c r="W77" i="1"/>
  <c r="AE71" i="1"/>
  <c r="AB70" i="1"/>
  <c r="W60" i="1"/>
  <c r="W52" i="1"/>
  <c r="W48" i="1"/>
  <c r="W44" i="1"/>
  <c r="W41" i="1"/>
  <c r="W27" i="1"/>
  <c r="W23" i="1"/>
  <c r="B6" i="5"/>
  <c r="AE203" i="1"/>
  <c r="W186" i="1"/>
  <c r="W175" i="1"/>
  <c r="AE173" i="1"/>
  <c r="W172" i="1"/>
  <c r="W167" i="1"/>
  <c r="AE165" i="1"/>
  <c r="W164" i="1"/>
  <c r="W158" i="1"/>
  <c r="AE156" i="1"/>
  <c r="W151" i="1"/>
  <c r="AE147" i="1"/>
  <c r="AE136" i="1"/>
  <c r="W133" i="1"/>
  <c r="AE128" i="1"/>
  <c r="AE120" i="1"/>
  <c r="W119" i="1"/>
  <c r="AE113" i="1"/>
  <c r="W95" i="1"/>
  <c r="W91" i="1"/>
  <c r="W86" i="1"/>
  <c r="W83" i="1"/>
  <c r="W80" i="1"/>
  <c r="AE75" i="1"/>
  <c r="W74" i="1"/>
  <c r="W56" i="1"/>
  <c r="W55" i="1"/>
  <c r="AE29" i="1"/>
  <c r="W19" i="1"/>
  <c r="W15" i="1"/>
  <c r="AB199" i="1"/>
  <c r="X186" i="1"/>
  <c r="AB183" i="1"/>
  <c r="AB169" i="1"/>
  <c r="AB135" i="1"/>
  <c r="AB123" i="1"/>
  <c r="AB109" i="1"/>
  <c r="AB85" i="1"/>
  <c r="AB81" i="1"/>
  <c r="AB60" i="1"/>
  <c r="AB59" i="1"/>
  <c r="AB54" i="1"/>
  <c r="AB6" i="1"/>
  <c r="AB200" i="1"/>
  <c r="AB191" i="1"/>
  <c r="X176" i="1"/>
  <c r="AB170" i="1"/>
  <c r="X159" i="1"/>
  <c r="AB141" i="1"/>
  <c r="AB138" i="1"/>
  <c r="AB137" i="1"/>
  <c r="AB136" i="1"/>
  <c r="AB127" i="1"/>
  <c r="AB110" i="1"/>
  <c r="AB79" i="1"/>
  <c r="X65" i="1"/>
  <c r="AE185" i="1"/>
  <c r="AE181" i="1"/>
  <c r="AB180" i="1"/>
  <c r="AB177" i="1"/>
  <c r="AB161" i="1"/>
  <c r="AB160" i="1"/>
  <c r="AB147" i="1"/>
  <c r="AB146" i="1"/>
  <c r="AB145" i="1"/>
  <c r="AB201" i="1"/>
  <c r="AB192" i="1"/>
  <c r="X191" i="1"/>
  <c r="AB171" i="1"/>
  <c r="AB150" i="1"/>
  <c r="AB142" i="1"/>
  <c r="AB69" i="1"/>
  <c r="AE202" i="1"/>
  <c r="AE183" i="1"/>
  <c r="AB181" i="1"/>
  <c r="X161" i="1"/>
  <c r="AE155" i="1"/>
  <c r="AI129" i="1"/>
  <c r="AI125" i="1"/>
  <c r="AB118" i="1"/>
  <c r="X114" i="1"/>
  <c r="AB80" i="1"/>
  <c r="AB53" i="1"/>
  <c r="X134" i="1"/>
  <c r="AC203" i="1"/>
  <c r="AB202" i="1"/>
  <c r="X201" i="1"/>
  <c r="AF198" i="1"/>
  <c r="AB197" i="1"/>
  <c r="AE194" i="1"/>
  <c r="AB188" i="1"/>
  <c r="AB178" i="1"/>
  <c r="AC168" i="1"/>
  <c r="AC158" i="1"/>
  <c r="AB154" i="1"/>
  <c r="AC149" i="1"/>
  <c r="AB143" i="1"/>
  <c r="AC139" i="1"/>
  <c r="AC133" i="1"/>
  <c r="AI130" i="1"/>
  <c r="X128" i="1"/>
  <c r="AC124" i="1"/>
  <c r="AB116" i="1"/>
  <c r="AI112" i="1"/>
  <c r="AB111" i="1"/>
  <c r="AC105" i="1"/>
  <c r="AB101" i="1"/>
  <c r="AI98" i="1"/>
  <c r="AI89" i="1"/>
  <c r="AB88" i="1"/>
  <c r="AB87" i="1"/>
  <c r="AI79" i="1"/>
  <c r="AC78" i="1"/>
  <c r="AI74" i="1"/>
  <c r="AC73" i="1"/>
  <c r="AC68" i="1"/>
  <c r="AI64" i="1"/>
  <c r="AB63" i="1"/>
  <c r="AB62" i="1"/>
  <c r="AI52" i="1"/>
  <c r="AC49" i="1"/>
  <c r="AI45" i="1"/>
  <c r="X196" i="1"/>
  <c r="X182" i="1"/>
  <c r="AN164" i="1"/>
  <c r="AK102" i="1"/>
  <c r="AB203" i="1"/>
  <c r="AB168" i="1"/>
  <c r="X163" i="1"/>
  <c r="AB158" i="1"/>
  <c r="AB149" i="1"/>
  <c r="AB133" i="1"/>
  <c r="X67" i="1"/>
  <c r="AC204" i="1"/>
  <c r="AC199" i="1"/>
  <c r="AB198" i="1"/>
  <c r="AE191" i="1"/>
  <c r="AE190" i="1"/>
  <c r="AB189" i="1"/>
  <c r="AE186" i="1"/>
  <c r="AC185" i="1"/>
  <c r="AE180" i="1"/>
  <c r="AB179" i="1"/>
  <c r="AC169" i="1"/>
  <c r="AC165" i="1"/>
  <c r="AB159" i="1"/>
  <c r="AC155" i="1"/>
  <c r="AC150" i="1"/>
  <c r="AC144" i="1"/>
  <c r="AI140" i="1"/>
  <c r="AB134" i="1"/>
  <c r="AC130" i="1"/>
  <c r="AI126" i="1"/>
  <c r="AC125" i="1"/>
  <c r="AC122" i="1"/>
  <c r="AI114" i="1"/>
  <c r="AC112" i="1"/>
  <c r="AI109" i="1"/>
  <c r="AC95" i="1"/>
  <c r="AI91" i="1"/>
  <c r="AC84" i="1"/>
  <c r="AC79" i="1"/>
  <c r="AC75" i="1"/>
  <c r="AB74" i="1"/>
  <c r="AC69" i="1"/>
  <c r="AC65" i="1"/>
  <c r="AB52" i="1"/>
  <c r="AB51" i="1"/>
  <c r="AB50" i="1"/>
  <c r="AB45" i="1"/>
  <c r="Y175" i="1"/>
  <c r="Y66" i="1"/>
  <c r="AE204" i="1"/>
  <c r="AE193" i="1"/>
  <c r="AE184" i="1"/>
  <c r="AE172" i="1"/>
  <c r="Y133" i="1"/>
  <c r="Y125" i="1"/>
  <c r="AH16" i="1"/>
  <c r="Y170" i="1"/>
  <c r="AB204" i="1"/>
  <c r="AE196" i="1"/>
  <c r="AE195" i="1"/>
  <c r="AB193" i="1"/>
  <c r="AB184" i="1"/>
  <c r="Y182" i="1"/>
  <c r="AE176" i="1"/>
  <c r="AE175" i="1"/>
  <c r="AE174" i="1"/>
  <c r="AB172" i="1"/>
  <c r="AE166" i="1"/>
  <c r="AB163" i="1"/>
  <c r="AB162" i="1"/>
  <c r="AB155" i="1"/>
  <c r="Y154" i="1"/>
  <c r="AE148" i="1"/>
  <c r="AB139" i="1"/>
  <c r="AB130" i="1"/>
  <c r="AB129" i="1"/>
  <c r="AB120" i="1"/>
  <c r="AB113" i="1"/>
  <c r="AB112" i="1"/>
  <c r="AE108" i="1"/>
  <c r="AE105" i="1"/>
  <c r="AE104" i="1"/>
  <c r="AB103" i="1"/>
  <c r="AE99" i="1"/>
  <c r="AE98" i="1"/>
  <c r="AB97" i="1"/>
  <c r="AB92" i="1"/>
  <c r="AB82" i="1"/>
  <c r="AB77" i="1"/>
  <c r="AE66" i="1"/>
  <c r="AB64" i="1"/>
  <c r="AE58" i="1"/>
  <c r="AB57" i="1"/>
  <c r="AB47" i="1"/>
  <c r="AB46" i="1"/>
  <c r="AB42" i="1"/>
  <c r="Y124" i="1"/>
  <c r="AE197" i="1"/>
  <c r="AB194" i="1"/>
  <c r="AB186" i="1"/>
  <c r="AB185" i="1"/>
  <c r="AN178" i="1"/>
  <c r="AE177" i="1"/>
  <c r="AB173" i="1"/>
  <c r="AE167" i="1"/>
  <c r="AB165" i="1"/>
  <c r="AB164" i="1"/>
  <c r="AE157" i="1"/>
  <c r="AB156" i="1"/>
  <c r="AE149" i="1"/>
  <c r="AE141" i="1"/>
  <c r="AE123" i="1"/>
  <c r="AB122" i="1"/>
  <c r="AB121" i="1"/>
  <c r="Y120" i="1"/>
  <c r="AE116" i="1"/>
  <c r="AB115" i="1"/>
  <c r="AE109" i="1"/>
  <c r="AB93" i="1"/>
  <c r="AB90" i="1"/>
  <c r="AB84" i="1"/>
  <c r="AB83" i="1"/>
  <c r="AB72" i="1"/>
  <c r="AB48" i="1"/>
  <c r="AE199" i="1"/>
  <c r="AE198" i="1"/>
  <c r="AB196" i="1"/>
  <c r="AB195" i="1"/>
  <c r="AE188" i="1"/>
  <c r="AB187" i="1"/>
  <c r="AE178" i="1"/>
  <c r="AB176" i="1"/>
  <c r="AB175" i="1"/>
  <c r="AB174" i="1"/>
  <c r="AE168" i="1"/>
  <c r="AB166" i="1"/>
  <c r="AE158" i="1"/>
  <c r="AE151" i="1"/>
  <c r="AE150" i="1"/>
  <c r="AE143" i="1"/>
  <c r="AE142" i="1"/>
  <c r="AB140" i="1"/>
  <c r="AE134" i="1"/>
  <c r="AE133" i="1"/>
  <c r="AB105" i="1"/>
  <c r="AB104" i="1"/>
  <c r="AB99" i="1"/>
  <c r="Y92" i="1"/>
  <c r="Y91" i="1"/>
  <c r="AB66" i="1"/>
  <c r="AB49" i="1"/>
  <c r="AB40" i="1"/>
  <c r="AE201" i="1"/>
  <c r="AE200" i="1"/>
  <c r="AE189" i="1"/>
  <c r="AE170" i="1"/>
  <c r="AE169" i="1"/>
  <c r="AE135" i="1"/>
  <c r="AE132" i="1"/>
  <c r="AE127" i="1"/>
  <c r="AE126" i="1"/>
  <c r="AE125" i="1"/>
  <c r="AE124" i="1"/>
  <c r="Y200" i="1"/>
  <c r="AF179" i="1"/>
  <c r="AN176" i="1"/>
  <c r="X175" i="1"/>
  <c r="AG171" i="1"/>
  <c r="X169" i="1"/>
  <c r="AF144" i="1"/>
  <c r="Y129" i="1"/>
  <c r="AG56" i="1"/>
  <c r="AF204" i="1"/>
  <c r="X203" i="1"/>
  <c r="AG198" i="1"/>
  <c r="AF194" i="1"/>
  <c r="AF189" i="1"/>
  <c r="X187" i="1"/>
  <c r="AF184" i="1"/>
  <c r="AF180" i="1"/>
  <c r="AF173" i="1"/>
  <c r="Y163" i="1"/>
  <c r="Y156" i="1"/>
  <c r="AG149" i="1"/>
  <c r="AF148" i="1"/>
  <c r="AN138" i="1"/>
  <c r="Y134" i="1"/>
  <c r="Y128" i="1"/>
  <c r="Y119" i="1"/>
  <c r="Y114" i="1"/>
  <c r="Y107" i="1"/>
  <c r="AF96" i="1"/>
  <c r="Y83" i="1"/>
  <c r="Y65" i="1"/>
  <c r="Y64" i="1"/>
  <c r="Y60" i="1"/>
  <c r="Y55" i="1"/>
  <c r="AF44" i="1"/>
  <c r="AG183" i="1"/>
  <c r="AG179" i="1"/>
  <c r="AG145" i="1"/>
  <c r="AG144" i="1"/>
  <c r="AG138" i="1"/>
  <c r="Y31" i="1"/>
  <c r="Y47" i="1"/>
  <c r="Y50" i="1"/>
  <c r="Y61" i="1"/>
  <c r="Y70" i="1"/>
  <c r="Y79" i="1"/>
  <c r="Y87" i="1"/>
  <c r="Y93" i="1"/>
  <c r="Y105" i="1"/>
  <c r="Y110" i="1"/>
  <c r="Y111" i="1"/>
  <c r="Y11" i="1"/>
  <c r="Y39" i="1"/>
  <c r="Y46" i="1"/>
  <c r="Y57" i="1"/>
  <c r="Y63" i="1"/>
  <c r="Y77" i="1"/>
  <c r="Y80" i="1"/>
  <c r="Y81" i="1"/>
  <c r="Y85" i="1"/>
  <c r="Y88" i="1"/>
  <c r="Y95" i="1"/>
  <c r="Y99" i="1"/>
  <c r="Y103" i="1"/>
  <c r="Y113" i="1"/>
  <c r="Y116" i="1"/>
  <c r="Y123" i="1"/>
  <c r="Y138" i="1"/>
  <c r="Y142" i="1"/>
  <c r="Y152" i="1"/>
  <c r="Y158" i="1"/>
  <c r="Y161" i="1"/>
  <c r="Y164" i="1"/>
  <c r="Y169" i="1"/>
  <c r="Y35" i="1"/>
  <c r="Y62" i="1"/>
  <c r="Y72" i="1"/>
  <c r="Y101" i="1"/>
  <c r="Y115" i="1"/>
  <c r="Y126" i="1"/>
  <c r="Y130" i="1"/>
  <c r="Y135" i="1"/>
  <c r="Y147" i="1"/>
  <c r="Y176" i="1"/>
  <c r="Y179" i="1"/>
  <c r="Y191" i="1"/>
  <c r="Y196" i="1"/>
  <c r="Y201" i="1"/>
  <c r="Y43" i="1"/>
  <c r="Y56" i="1"/>
  <c r="Y68" i="1"/>
  <c r="Y69" i="1"/>
  <c r="Y94" i="1"/>
  <c r="Y102" i="1"/>
  <c r="Y104" i="1"/>
  <c r="Y52" i="1"/>
  <c r="Y82" i="1"/>
  <c r="Y122" i="1"/>
  <c r="Y131" i="1"/>
  <c r="Y132" i="1"/>
  <c r="Y139" i="1"/>
  <c r="Y167" i="1"/>
  <c r="Y171" i="1"/>
  <c r="Y174" i="1"/>
  <c r="Y186" i="1"/>
  <c r="Y189" i="1"/>
  <c r="Y199" i="1"/>
  <c r="Y204" i="1"/>
  <c r="Y7" i="1"/>
  <c r="Y37" i="1"/>
  <c r="Y44" i="1"/>
  <c r="Y45" i="1"/>
  <c r="Y48" i="1"/>
  <c r="Y58" i="1"/>
  <c r="Y59" i="1"/>
  <c r="Y73" i="1"/>
  <c r="Y74" i="1"/>
  <c r="Y89" i="1"/>
  <c r="Y90" i="1"/>
  <c r="Y109" i="1"/>
  <c r="Y112" i="1"/>
  <c r="Y117" i="1"/>
  <c r="Y118" i="1"/>
  <c r="Y127" i="1"/>
  <c r="Y136" i="1"/>
  <c r="Y140" i="1"/>
  <c r="Y141" i="1"/>
  <c r="Y145" i="1"/>
  <c r="Y148" i="1"/>
  <c r="Y149" i="1"/>
  <c r="Y153" i="1"/>
  <c r="Y157" i="1"/>
  <c r="Y162" i="1"/>
  <c r="Y165" i="1"/>
  <c r="Y168" i="1"/>
  <c r="Y172" i="1"/>
  <c r="Y177" i="1"/>
  <c r="Y192" i="1"/>
  <c r="Y197" i="1"/>
  <c r="Y202" i="1"/>
  <c r="Y33" i="1"/>
  <c r="Y51" i="1"/>
  <c r="Y67" i="1"/>
  <c r="Y76" i="1"/>
  <c r="Y78" i="1"/>
  <c r="Y84" i="1"/>
  <c r="Y100" i="1"/>
  <c r="Y121" i="1"/>
  <c r="Y143" i="1"/>
  <c r="Y155" i="1"/>
  <c r="Y159" i="1"/>
  <c r="Y160" i="1"/>
  <c r="X77" i="1"/>
  <c r="X38" i="1"/>
  <c r="X45" i="1"/>
  <c r="X56" i="1"/>
  <c r="X59" i="1"/>
  <c r="X64" i="1"/>
  <c r="X97" i="1"/>
  <c r="X101" i="1"/>
  <c r="X36" i="1"/>
  <c r="X48" i="1"/>
  <c r="X55" i="1"/>
  <c r="X60" i="1"/>
  <c r="X69" i="1"/>
  <c r="X74" i="1"/>
  <c r="X86" i="1"/>
  <c r="X109" i="1"/>
  <c r="X120" i="1"/>
  <c r="X129" i="1"/>
  <c r="X149" i="1"/>
  <c r="X155" i="1"/>
  <c r="X47" i="1"/>
  <c r="X61" i="1"/>
  <c r="X93" i="1"/>
  <c r="X138" i="1"/>
  <c r="X194" i="1"/>
  <c r="X30" i="1"/>
  <c r="X81" i="1"/>
  <c r="X95" i="1"/>
  <c r="X122" i="1"/>
  <c r="X32" i="1"/>
  <c r="X44" i="1"/>
  <c r="X58" i="1"/>
  <c r="X63" i="1"/>
  <c r="X73" i="1"/>
  <c r="X80" i="1"/>
  <c r="X88" i="1"/>
  <c r="X112" i="1"/>
  <c r="X116" i="1"/>
  <c r="X136" i="1"/>
  <c r="X145" i="1"/>
  <c r="X153" i="1"/>
  <c r="X165" i="1"/>
  <c r="X168" i="1"/>
  <c r="X202" i="1"/>
  <c r="X49" i="1"/>
  <c r="X70" i="1"/>
  <c r="X83" i="1"/>
  <c r="X105" i="1"/>
  <c r="X124" i="1"/>
  <c r="X133" i="1"/>
  <c r="X184" i="1"/>
  <c r="X6" i="1"/>
  <c r="X72" i="1"/>
  <c r="X79" i="1"/>
  <c r="X87" i="1"/>
  <c r="X126" i="1"/>
  <c r="X130" i="1"/>
  <c r="AG197" i="1"/>
  <c r="AN196" i="1"/>
  <c r="X195" i="1"/>
  <c r="AG192" i="1"/>
  <c r="AN191" i="1"/>
  <c r="X190" i="1"/>
  <c r="AF187" i="1"/>
  <c r="Y185" i="1"/>
  <c r="AN182" i="1"/>
  <c r="Y181" i="1"/>
  <c r="AG176" i="1"/>
  <c r="X174" i="1"/>
  <c r="AF171" i="1"/>
  <c r="AN170" i="1"/>
  <c r="AF164" i="1"/>
  <c r="AN163" i="1"/>
  <c r="AG156" i="1"/>
  <c r="Y151" i="1"/>
  <c r="AF143" i="1"/>
  <c r="AF140" i="1"/>
  <c r="AF135" i="1"/>
  <c r="AN134" i="1"/>
  <c r="AG116" i="1"/>
  <c r="AF115" i="1"/>
  <c r="AN114" i="1"/>
  <c r="AG111" i="1"/>
  <c r="AG104" i="1"/>
  <c r="AG103" i="1"/>
  <c r="AF102" i="1"/>
  <c r="AF101" i="1"/>
  <c r="Y98" i="1"/>
  <c r="Y97" i="1"/>
  <c r="Y86" i="1"/>
  <c r="AN81" i="1"/>
  <c r="AF80" i="1"/>
  <c r="AF79" i="1"/>
  <c r="X76" i="1"/>
  <c r="Y75" i="1"/>
  <c r="AF56" i="1"/>
  <c r="AG55" i="1"/>
  <c r="X50" i="1"/>
  <c r="Y49" i="1"/>
  <c r="AN34" i="1"/>
  <c r="X12" i="1"/>
  <c r="AG202" i="1"/>
  <c r="AG201" i="1"/>
  <c r="X199" i="1"/>
  <c r="AG196" i="1"/>
  <c r="AG191" i="1"/>
  <c r="AF186" i="1"/>
  <c r="X185" i="1"/>
  <c r="AG182" i="1"/>
  <c r="AF176" i="1"/>
  <c r="AF170" i="1"/>
  <c r="Y166" i="1"/>
  <c r="AG161" i="1"/>
  <c r="AN155" i="1"/>
  <c r="AF154" i="1"/>
  <c r="Y150" i="1"/>
  <c r="Y146" i="1"/>
  <c r="AF117" i="1"/>
  <c r="AF104" i="1"/>
  <c r="AN67" i="1"/>
  <c r="AN60" i="1"/>
  <c r="AG39" i="1"/>
  <c r="AG37" i="1"/>
  <c r="AG203" i="1"/>
  <c r="AG193" i="1"/>
  <c r="AG188" i="1"/>
  <c r="AG165" i="1"/>
  <c r="AN133" i="1"/>
  <c r="AN47" i="1"/>
  <c r="AN54" i="1"/>
  <c r="AN56" i="1"/>
  <c r="AN68" i="1"/>
  <c r="AN73" i="1"/>
  <c r="AN76" i="1"/>
  <c r="AN122" i="1"/>
  <c r="AN30" i="1"/>
  <c r="AN44" i="1"/>
  <c r="AN58" i="1"/>
  <c r="AN63" i="1"/>
  <c r="AN109" i="1"/>
  <c r="AN149" i="1"/>
  <c r="AN52" i="1"/>
  <c r="AN65" i="1"/>
  <c r="AN95" i="1"/>
  <c r="AN157" i="1"/>
  <c r="AN174" i="1"/>
  <c r="AN180" i="1"/>
  <c r="AN194" i="1"/>
  <c r="AN45" i="1"/>
  <c r="AN70" i="1"/>
  <c r="AN74" i="1"/>
  <c r="AN97" i="1"/>
  <c r="AN105" i="1"/>
  <c r="AN118" i="1"/>
  <c r="AN66" i="1"/>
  <c r="AN141" i="1"/>
  <c r="AN158" i="1"/>
  <c r="AN172" i="1"/>
  <c r="AN197" i="1"/>
  <c r="AN202" i="1"/>
  <c r="AN50" i="1"/>
  <c r="AN71" i="1"/>
  <c r="AN78" i="1"/>
  <c r="AN83" i="1"/>
  <c r="AN86" i="1"/>
  <c r="AN154" i="1"/>
  <c r="AN159" i="1"/>
  <c r="AN187" i="1"/>
  <c r="AN36" i="1"/>
  <c r="AN48" i="1"/>
  <c r="AN69" i="1"/>
  <c r="AN126" i="1"/>
  <c r="AN147" i="1"/>
  <c r="AN156" i="1"/>
  <c r="AN161" i="1"/>
  <c r="X204" i="1"/>
  <c r="AF201" i="1"/>
  <c r="AF196" i="1"/>
  <c r="Y194" i="1"/>
  <c r="AF191" i="1"/>
  <c r="X189" i="1"/>
  <c r="AN185" i="1"/>
  <c r="Y184" i="1"/>
  <c r="Y180" i="1"/>
  <c r="Y173" i="1"/>
  <c r="X166" i="1"/>
  <c r="AF161" i="1"/>
  <c r="AG160" i="1"/>
  <c r="AG158" i="1"/>
  <c r="AG155" i="1"/>
  <c r="AG152" i="1"/>
  <c r="AN151" i="1"/>
  <c r="AG131" i="1"/>
  <c r="AG130" i="1"/>
  <c r="AG126" i="1"/>
  <c r="AF123" i="1"/>
  <c r="AG122" i="1"/>
  <c r="AG121" i="1"/>
  <c r="AN93" i="1"/>
  <c r="X78" i="1"/>
  <c r="AN72" i="1"/>
  <c r="AF62" i="1"/>
  <c r="AN61" i="1"/>
  <c r="AF52" i="1"/>
  <c r="X46" i="1"/>
  <c r="Y41" i="1"/>
  <c r="AG46" i="1"/>
  <c r="AG35" i="1"/>
  <c r="AG43" i="1"/>
  <c r="AG71" i="1"/>
  <c r="AG84" i="1"/>
  <c r="AG91" i="1"/>
  <c r="AG108" i="1"/>
  <c r="AG119" i="1"/>
  <c r="AG7" i="1"/>
  <c r="AG67" i="1"/>
  <c r="AG110" i="1"/>
  <c r="AG118" i="1"/>
  <c r="AG124" i="1"/>
  <c r="AG133" i="1"/>
  <c r="AG139" i="1"/>
  <c r="AG140" i="1"/>
  <c r="AG143" i="1"/>
  <c r="AG159" i="1"/>
  <c r="AG162" i="1"/>
  <c r="AG167" i="1"/>
  <c r="AG170" i="1"/>
  <c r="AG63" i="1"/>
  <c r="AG105" i="1"/>
  <c r="AG107" i="1"/>
  <c r="AG109" i="1"/>
  <c r="AG112" i="1"/>
  <c r="AG153" i="1"/>
  <c r="AG186" i="1"/>
  <c r="AG189" i="1"/>
  <c r="AG199" i="1"/>
  <c r="AG204" i="1"/>
  <c r="AG41" i="1"/>
  <c r="AG59" i="1"/>
  <c r="AG83" i="1"/>
  <c r="AG106" i="1"/>
  <c r="AG113" i="1"/>
  <c r="AG128" i="1"/>
  <c r="AG141" i="1"/>
  <c r="AG75" i="1"/>
  <c r="AG114" i="1"/>
  <c r="AG120" i="1"/>
  <c r="AG125" i="1"/>
  <c r="AG142" i="1"/>
  <c r="AG154" i="1"/>
  <c r="AG181" i="1"/>
  <c r="AG184" i="1"/>
  <c r="AG187" i="1"/>
  <c r="AG60" i="1"/>
  <c r="AG92" i="1"/>
  <c r="AG99" i="1"/>
  <c r="AG100" i="1"/>
  <c r="AG134" i="1"/>
  <c r="AG137" i="1"/>
  <c r="AG146" i="1"/>
  <c r="AG163" i="1"/>
  <c r="AG175" i="1"/>
  <c r="AG178" i="1"/>
  <c r="AG190" i="1"/>
  <c r="AG195" i="1"/>
  <c r="AG200" i="1"/>
  <c r="AG31" i="1"/>
  <c r="AG44" i="1"/>
  <c r="AG95" i="1"/>
  <c r="AG96" i="1"/>
  <c r="AG117" i="1"/>
  <c r="AG123" i="1"/>
  <c r="AG148" i="1"/>
  <c r="AF203" i="1"/>
  <c r="Y195" i="1"/>
  <c r="Y190" i="1"/>
  <c r="AF188" i="1"/>
  <c r="AF183" i="1"/>
  <c r="AG172" i="1"/>
  <c r="X170" i="1"/>
  <c r="X167" i="1"/>
  <c r="AG164" i="1"/>
  <c r="AN143" i="1"/>
  <c r="AG135" i="1"/>
  <c r="X125" i="1"/>
  <c r="X121" i="1"/>
  <c r="AG115" i="1"/>
  <c r="Y108" i="1"/>
  <c r="Y96" i="1"/>
  <c r="X91" i="1"/>
  <c r="AG79" i="1"/>
  <c r="Y71" i="1"/>
  <c r="X66" i="1"/>
  <c r="AF36" i="1"/>
  <c r="AN199" i="1"/>
  <c r="Y198" i="1"/>
  <c r="Y193" i="1"/>
  <c r="AF185" i="1"/>
  <c r="AF181" i="1"/>
  <c r="Y178" i="1"/>
  <c r="AG174" i="1"/>
  <c r="X173" i="1"/>
  <c r="AG168" i="1"/>
  <c r="AN166" i="1"/>
  <c r="AF160" i="1"/>
  <c r="AF152" i="1"/>
  <c r="AG151" i="1"/>
  <c r="AG147" i="1"/>
  <c r="Y144" i="1"/>
  <c r="Y137" i="1"/>
  <c r="AG132" i="1"/>
  <c r="AF131" i="1"/>
  <c r="AF95" i="1"/>
  <c r="AF94" i="1"/>
  <c r="AG88" i="1"/>
  <c r="AG87" i="1"/>
  <c r="AF69" i="1"/>
  <c r="AG51" i="1"/>
  <c r="AG47" i="1"/>
  <c r="AF174" i="1"/>
  <c r="AF34" i="1"/>
  <c r="AF48" i="1"/>
  <c r="AF51" i="1"/>
  <c r="AF57" i="1"/>
  <c r="AF66" i="1"/>
  <c r="AF77" i="1"/>
  <c r="AF85" i="1"/>
  <c r="AF88" i="1"/>
  <c r="AF103" i="1"/>
  <c r="AF116" i="1"/>
  <c r="AF61" i="1"/>
  <c r="AF64" i="1"/>
  <c r="AF75" i="1"/>
  <c r="AF83" i="1"/>
  <c r="AF90" i="1"/>
  <c r="AF93" i="1"/>
  <c r="AF111" i="1"/>
  <c r="AF121" i="1"/>
  <c r="AF153" i="1"/>
  <c r="AF156" i="1"/>
  <c r="AF53" i="1"/>
  <c r="AF59" i="1"/>
  <c r="AF70" i="1"/>
  <c r="AF127" i="1"/>
  <c r="AF128" i="1"/>
  <c r="AF141" i="1"/>
  <c r="AF145" i="1"/>
  <c r="AF149" i="1"/>
  <c r="AF158" i="1"/>
  <c r="AF162" i="1"/>
  <c r="AF165" i="1"/>
  <c r="AF168" i="1"/>
  <c r="AF172" i="1"/>
  <c r="AF177" i="1"/>
  <c r="AF192" i="1"/>
  <c r="AF197" i="1"/>
  <c r="AF202" i="1"/>
  <c r="AF50" i="1"/>
  <c r="AF71" i="1"/>
  <c r="AF91" i="1"/>
  <c r="AF98" i="1"/>
  <c r="AF119" i="1"/>
  <c r="AF120" i="1"/>
  <c r="AF125" i="1"/>
  <c r="AF133" i="1"/>
  <c r="AF46" i="1"/>
  <c r="AF54" i="1"/>
  <c r="AF60" i="1"/>
  <c r="AF76" i="1"/>
  <c r="AF78" i="1"/>
  <c r="AF86" i="1"/>
  <c r="AF92" i="1"/>
  <c r="AF99" i="1"/>
  <c r="AF100" i="1"/>
  <c r="AF129" i="1"/>
  <c r="AF137" i="1"/>
  <c r="AF163" i="1"/>
  <c r="AF169" i="1"/>
  <c r="AF175" i="1"/>
  <c r="AF178" i="1"/>
  <c r="AF195" i="1"/>
  <c r="AF200" i="1"/>
  <c r="AF32" i="1"/>
  <c r="AF55" i="1"/>
  <c r="AF67" i="1"/>
  <c r="AF84" i="1"/>
  <c r="AF151" i="1"/>
  <c r="AF155" i="1"/>
  <c r="AF166" i="1"/>
  <c r="AF193" i="1"/>
  <c r="AF12" i="1"/>
  <c r="AF45" i="1"/>
  <c r="AF58" i="1"/>
  <c r="AF63" i="1"/>
  <c r="AF74" i="1"/>
  <c r="AF82" i="1"/>
  <c r="AF108" i="1"/>
  <c r="AF112" i="1"/>
  <c r="AF124" i="1"/>
  <c r="AF136" i="1"/>
  <c r="AF139" i="1"/>
  <c r="AF157" i="1"/>
  <c r="AN204" i="1"/>
  <c r="Y203" i="1"/>
  <c r="AF199" i="1"/>
  <c r="X198" i="1"/>
  <c r="AG194" i="1"/>
  <c r="X193" i="1"/>
  <c r="AN189" i="1"/>
  <c r="Y188" i="1"/>
  <c r="Y187" i="1"/>
  <c r="Y183" i="1"/>
  <c r="AG180" i="1"/>
  <c r="X178" i="1"/>
  <c r="AG173" i="1"/>
  <c r="X171" i="1"/>
  <c r="AG166" i="1"/>
  <c r="AF147" i="1"/>
  <c r="X137" i="1"/>
  <c r="AF132" i="1"/>
  <c r="Y106" i="1"/>
  <c r="AF89" i="1"/>
  <c r="AF87" i="1"/>
  <c r="AF73" i="1"/>
  <c r="AF72" i="1"/>
  <c r="Y54" i="1"/>
  <c r="AF47" i="1"/>
  <c r="AN46" i="1"/>
  <c r="AF43" i="1"/>
  <c r="AB157" i="1"/>
  <c r="AB148" i="1"/>
  <c r="AB132" i="1"/>
  <c r="AB131" i="1"/>
  <c r="AB128" i="1"/>
  <c r="AB125" i="1"/>
  <c r="AB119" i="1"/>
  <c r="AB108" i="1"/>
  <c r="AB107" i="1"/>
  <c r="AB106" i="1"/>
  <c r="AB102" i="1"/>
  <c r="AB98" i="1"/>
  <c r="AB94" i="1"/>
  <c r="AB91" i="1"/>
  <c r="AB76" i="1"/>
  <c r="AB73" i="1"/>
  <c r="AB71" i="1"/>
  <c r="AB68" i="1"/>
  <c r="AB65" i="1"/>
  <c r="AB43" i="1"/>
  <c r="AB124" i="1"/>
  <c r="AB117" i="1"/>
  <c r="AB114" i="1"/>
  <c r="AB100" i="1"/>
  <c r="AB96" i="1"/>
  <c r="AB89" i="1"/>
  <c r="AB78" i="1"/>
  <c r="AB67" i="1"/>
  <c r="AB58" i="1"/>
  <c r="AB44" i="1"/>
  <c r="AB12" i="1"/>
  <c r="AJ43" i="1"/>
  <c r="AJ92" i="1"/>
  <c r="AJ96" i="1"/>
  <c r="AJ118" i="1"/>
  <c r="AJ125" i="1"/>
  <c r="AJ132" i="1"/>
  <c r="AJ146" i="1"/>
  <c r="AJ155" i="1"/>
  <c r="AJ162" i="1"/>
  <c r="AJ167" i="1"/>
  <c r="AJ172" i="1"/>
  <c r="AJ180" i="1"/>
  <c r="AJ188" i="1"/>
  <c r="AJ202" i="1"/>
  <c r="AJ194" i="1"/>
  <c r="AJ189" i="1"/>
  <c r="AJ187" i="1"/>
  <c r="AJ174" i="1"/>
  <c r="AJ170" i="1"/>
  <c r="AJ168" i="1"/>
  <c r="AJ166" i="1"/>
  <c r="AJ122" i="1"/>
  <c r="AJ120" i="1"/>
  <c r="AJ65" i="1"/>
  <c r="AN200" i="1"/>
  <c r="AJ197" i="1"/>
  <c r="X197" i="1"/>
  <c r="AN192" i="1"/>
  <c r="AJ185" i="1"/>
  <c r="AJ183" i="1"/>
  <c r="X183" i="1"/>
  <c r="AN181" i="1"/>
  <c r="AN179" i="1"/>
  <c r="X179" i="1"/>
  <c r="AJ164" i="1"/>
  <c r="X164" i="1"/>
  <c r="AJ160" i="1"/>
  <c r="X160" i="1"/>
  <c r="AJ158" i="1"/>
  <c r="X158" i="1"/>
  <c r="AJ156" i="1"/>
  <c r="X156" i="1"/>
  <c r="AJ154" i="1"/>
  <c r="X154" i="1"/>
  <c r="AJ152" i="1"/>
  <c r="X152" i="1"/>
  <c r="AN150" i="1"/>
  <c r="X150" i="1"/>
  <c r="X148" i="1"/>
  <c r="AN146" i="1"/>
  <c r="X144" i="1"/>
  <c r="AN142" i="1"/>
  <c r="X140" i="1"/>
  <c r="AJ138" i="1"/>
  <c r="AJ136" i="1"/>
  <c r="AJ134" i="1"/>
  <c r="X108" i="1"/>
  <c r="AJ105" i="1"/>
  <c r="AJ97" i="1"/>
  <c r="X94" i="1"/>
  <c r="AN92" i="1"/>
  <c r="X85" i="1"/>
  <c r="AN80" i="1"/>
  <c r="X75" i="1"/>
  <c r="AJ73" i="1"/>
  <c r="X71" i="1"/>
  <c r="AJ69" i="1"/>
  <c r="AN64" i="1"/>
  <c r="AN62" i="1"/>
  <c r="X62" i="1"/>
  <c r="AJ60" i="1"/>
  <c r="AN53" i="1"/>
  <c r="X53" i="1"/>
  <c r="X51" i="1"/>
  <c r="AN49" i="1"/>
  <c r="AJ45" i="1"/>
  <c r="AN40" i="1"/>
  <c r="AJ36" i="1"/>
  <c r="X34" i="1"/>
  <c r="AN203" i="1"/>
  <c r="AJ200" i="1"/>
  <c r="X200" i="1"/>
  <c r="AN195" i="1"/>
  <c r="AJ192" i="1"/>
  <c r="X192" i="1"/>
  <c r="AJ181" i="1"/>
  <c r="X181" i="1"/>
  <c r="AJ179" i="1"/>
  <c r="AN177" i="1"/>
  <c r="X177" i="1"/>
  <c r="AN162" i="1"/>
  <c r="AJ150" i="1"/>
  <c r="AJ148" i="1"/>
  <c r="AJ144" i="1"/>
  <c r="AJ142" i="1"/>
  <c r="X142" i="1"/>
  <c r="AJ140" i="1"/>
  <c r="AN129" i="1"/>
  <c r="AN127" i="1"/>
  <c r="AN125" i="1"/>
  <c r="AN121" i="1"/>
  <c r="AN117" i="1"/>
  <c r="X117" i="1"/>
  <c r="AN115" i="1"/>
  <c r="AJ111" i="1"/>
  <c r="AJ108" i="1"/>
  <c r="AN99" i="1"/>
  <c r="X99" i="1"/>
  <c r="X96" i="1"/>
  <c r="AN94" i="1"/>
  <c r="AN89" i="1"/>
  <c r="X89" i="1"/>
  <c r="AN87" i="1"/>
  <c r="AN85" i="1"/>
  <c r="X82" i="1"/>
  <c r="AJ80" i="1"/>
  <c r="AN77" i="1"/>
  <c r="AJ64" i="1"/>
  <c r="AN55" i="1"/>
  <c r="AJ53" i="1"/>
  <c r="AJ49" i="1"/>
  <c r="AJ40" i="1"/>
  <c r="AJ32" i="1"/>
  <c r="AJ12" i="1"/>
  <c r="AJ203" i="1"/>
  <c r="AN198" i="1"/>
  <c r="AJ195" i="1"/>
  <c r="AN190" i="1"/>
  <c r="AN186" i="1"/>
  <c r="AJ177" i="1"/>
  <c r="AJ175" i="1"/>
  <c r="AN173" i="1"/>
  <c r="AN171" i="1"/>
  <c r="AN131" i="1"/>
  <c r="AJ129" i="1"/>
  <c r="AJ127" i="1"/>
  <c r="AN123" i="1"/>
  <c r="AJ121" i="1"/>
  <c r="AN119" i="1"/>
  <c r="AJ117" i="1"/>
  <c r="AJ115" i="1"/>
  <c r="AN113" i="1"/>
  <c r="AN101" i="1"/>
  <c r="AN96" i="1"/>
  <c r="AJ89" i="1"/>
  <c r="AJ85" i="1"/>
  <c r="AN79" i="1"/>
  <c r="AJ77" i="1"/>
  <c r="AJ57" i="1"/>
  <c r="AN42" i="1"/>
  <c r="X57" i="1"/>
  <c r="X90" i="1"/>
  <c r="X92" i="1"/>
  <c r="X98" i="1"/>
  <c r="X102" i="1"/>
  <c r="X118" i="1"/>
  <c r="X132" i="1"/>
  <c r="X141" i="1"/>
  <c r="X146" i="1"/>
  <c r="X162" i="1"/>
  <c r="X172" i="1"/>
  <c r="X180" i="1"/>
  <c r="X188" i="1"/>
  <c r="AJ199" i="1"/>
  <c r="AJ141" i="1"/>
  <c r="AJ124" i="1"/>
  <c r="AJ114" i="1"/>
  <c r="AJ100" i="1"/>
  <c r="AJ76" i="1"/>
  <c r="AN201" i="1"/>
  <c r="AJ198" i="1"/>
  <c r="AN193" i="1"/>
  <c r="AJ190" i="1"/>
  <c r="AN188" i="1"/>
  <c r="AJ186" i="1"/>
  <c r="AN184" i="1"/>
  <c r="AJ173" i="1"/>
  <c r="AJ171" i="1"/>
  <c r="AN169" i="1"/>
  <c r="AN167" i="1"/>
  <c r="AJ165" i="1"/>
  <c r="AN145" i="1"/>
  <c r="AJ137" i="1"/>
  <c r="AN135" i="1"/>
  <c r="AJ131" i="1"/>
  <c r="AJ123" i="1"/>
  <c r="AJ119" i="1"/>
  <c r="AJ113" i="1"/>
  <c r="AJ110" i="1"/>
  <c r="AJ104" i="1"/>
  <c r="AJ101" i="1"/>
  <c r="AJ42" i="1"/>
  <c r="AJ201" i="1"/>
  <c r="AJ193" i="1"/>
  <c r="AJ184" i="1"/>
  <c r="AJ169" i="1"/>
  <c r="AJ153" i="1"/>
  <c r="AJ145" i="1"/>
  <c r="AJ139" i="1"/>
  <c r="AJ135" i="1"/>
  <c r="AJ133" i="1"/>
  <c r="AJ107" i="1"/>
  <c r="AJ84" i="1"/>
  <c r="AJ72" i="1"/>
  <c r="AJ68" i="1"/>
  <c r="AJ48" i="1"/>
  <c r="AJ44" i="1"/>
  <c r="AJ38" i="1"/>
  <c r="AJ6" i="1"/>
  <c r="AN38" i="1"/>
  <c r="AN57" i="1"/>
  <c r="AN82" i="1"/>
  <c r="AN84" i="1"/>
  <c r="AN88" i="1"/>
  <c r="AN90" i="1"/>
  <c r="AN98" i="1"/>
  <c r="AN100" i="1"/>
  <c r="AN102" i="1"/>
  <c r="AN110" i="1"/>
  <c r="AN130" i="1"/>
  <c r="AN137" i="1"/>
  <c r="AN139" i="1"/>
  <c r="AN153" i="1"/>
  <c r="AN165" i="1"/>
  <c r="AN175" i="1"/>
  <c r="AN183" i="1"/>
  <c r="AJ191" i="1"/>
  <c r="AJ176" i="1"/>
  <c r="AJ128" i="1"/>
  <c r="AJ103" i="1"/>
  <c r="AJ81" i="1"/>
  <c r="AJ34" i="1"/>
  <c r="AJ30" i="1"/>
  <c r="AJ204" i="1"/>
  <c r="AJ196" i="1"/>
  <c r="AJ182" i="1"/>
  <c r="AJ178" i="1"/>
  <c r="AJ163" i="1"/>
  <c r="AJ161" i="1"/>
  <c r="AJ159" i="1"/>
  <c r="AJ157" i="1"/>
  <c r="AJ151" i="1"/>
  <c r="AJ149" i="1"/>
  <c r="AJ147" i="1"/>
  <c r="AJ143" i="1"/>
  <c r="AJ130" i="1"/>
  <c r="AJ126" i="1"/>
  <c r="AJ116" i="1"/>
  <c r="AJ112" i="1"/>
  <c r="AJ109" i="1"/>
  <c r="AJ106" i="1"/>
  <c r="AJ93" i="1"/>
  <c r="AJ88" i="1"/>
  <c r="AJ61" i="1"/>
  <c r="AJ56" i="1"/>
  <c r="AJ52" i="1"/>
  <c r="AF190" i="1"/>
  <c r="AE187" i="1"/>
  <c r="AG185" i="1"/>
  <c r="AF182" i="1"/>
  <c r="AE179" i="1"/>
  <c r="AG177" i="1"/>
  <c r="AE171" i="1"/>
  <c r="AG169" i="1"/>
  <c r="AE161" i="1"/>
  <c r="AE159" i="1"/>
  <c r="AG157" i="1"/>
  <c r="AG150" i="1"/>
  <c r="AI148" i="1"/>
  <c r="AI141" i="1"/>
  <c r="AE140" i="1"/>
  <c r="AG136" i="1"/>
  <c r="AI134" i="1"/>
  <c r="AE131" i="1"/>
  <c r="AG129" i="1"/>
  <c r="AG127" i="1"/>
  <c r="AE122" i="1"/>
  <c r="AI120" i="1"/>
  <c r="AE117" i="1"/>
  <c r="AI113" i="1"/>
  <c r="AI108" i="1"/>
  <c r="AI105" i="1"/>
  <c r="AI94" i="1"/>
  <c r="AG80" i="1"/>
  <c r="AE78" i="1"/>
  <c r="AG76" i="1"/>
  <c r="AE74" i="1"/>
  <c r="AG72" i="1"/>
  <c r="AI68" i="1"/>
  <c r="AI66" i="1"/>
  <c r="AG64" i="1"/>
  <c r="AE54" i="1"/>
  <c r="AG52" i="1"/>
  <c r="AG48" i="1"/>
  <c r="AI44" i="1"/>
  <c r="AG33" i="1"/>
  <c r="AI29" i="1"/>
  <c r="AE19" i="1"/>
  <c r="K5" i="2"/>
  <c r="K7" i="2" s="1"/>
  <c r="K8" i="2" s="1"/>
  <c r="N5" i="3"/>
  <c r="G16" i="5"/>
  <c r="B9" i="5"/>
  <c r="J5" i="2"/>
  <c r="J7" i="2" s="1"/>
  <c r="J8" i="2" s="1"/>
  <c r="N4" i="3"/>
  <c r="AI138" i="1"/>
  <c r="AI133" i="1"/>
  <c r="AI128" i="1"/>
  <c r="AI85" i="1"/>
  <c r="AI75" i="1"/>
  <c r="AI60" i="1"/>
  <c r="AI58" i="1"/>
  <c r="AI37" i="1"/>
  <c r="AI31" i="1"/>
  <c r="AI39" i="1"/>
  <c r="AI19" i="1"/>
  <c r="AI27" i="1"/>
  <c r="AI103" i="1"/>
  <c r="AI107" i="1"/>
  <c r="AI111" i="1"/>
  <c r="AI115" i="1"/>
  <c r="AI17" i="1"/>
  <c r="AI25" i="1"/>
  <c r="AI106" i="1"/>
  <c r="AI110" i="1"/>
  <c r="AI15" i="1"/>
  <c r="AI21" i="1"/>
  <c r="AI33" i="1"/>
  <c r="AI54" i="1"/>
  <c r="AI70" i="1"/>
  <c r="AI86" i="1"/>
  <c r="AI102" i="1"/>
  <c r="AI119" i="1"/>
  <c r="AI123" i="1"/>
  <c r="AI127" i="1"/>
  <c r="AI131" i="1"/>
  <c r="AI135" i="1"/>
  <c r="AI139" i="1"/>
  <c r="AI143" i="1"/>
  <c r="AI147" i="1"/>
  <c r="AI151" i="1"/>
  <c r="C15" i="2"/>
  <c r="C6" i="4" s="1"/>
  <c r="C9" i="4" s="1"/>
  <c r="C10" i="4" s="1" a="1"/>
  <c r="C10" i="4" s="1"/>
  <c r="I5" i="2"/>
  <c r="I7" i="2" s="1"/>
  <c r="I8" i="2" s="1"/>
  <c r="N11" i="3"/>
  <c r="G5" i="2"/>
  <c r="N9" i="3"/>
  <c r="B4" i="3" a="1"/>
  <c r="B4" i="3" s="1"/>
  <c r="C4" i="3" s="1" a="1"/>
  <c r="C4" i="3" s="1"/>
  <c r="D4" i="3" s="1"/>
  <c r="C14" i="2"/>
  <c r="G16" i="2" s="1"/>
  <c r="H5" i="2"/>
  <c r="N10" i="3"/>
  <c r="N8" i="3"/>
  <c r="AI149" i="1"/>
  <c r="AI144" i="1"/>
  <c r="AI122" i="1"/>
  <c r="AI117" i="1"/>
  <c r="AI99" i="1"/>
  <c r="AI95" i="1"/>
  <c r="AI84" i="1"/>
  <c r="AI82" i="1"/>
  <c r="AI80" i="1"/>
  <c r="AI78" i="1"/>
  <c r="AI65" i="1"/>
  <c r="AI61" i="1"/>
  <c r="AI23" i="1"/>
  <c r="AI13" i="1"/>
  <c r="H14" i="5"/>
  <c r="H16" i="5"/>
  <c r="AA17" i="1"/>
  <c r="AA25" i="1"/>
  <c r="AA104" i="1"/>
  <c r="AA108" i="1"/>
  <c r="AA112" i="1"/>
  <c r="AA23" i="1"/>
  <c r="AA31" i="1"/>
  <c r="AA33" i="1"/>
  <c r="AA35" i="1"/>
  <c r="AA37" i="1"/>
  <c r="AA39" i="1"/>
  <c r="AA103" i="1"/>
  <c r="AA107" i="1"/>
  <c r="AA111" i="1"/>
  <c r="D8" i="5"/>
  <c r="E8" i="5"/>
  <c r="X40" i="1"/>
  <c r="X42" i="1"/>
  <c r="X103" i="1"/>
  <c r="X107" i="1"/>
  <c r="X111" i="1"/>
  <c r="X115" i="1"/>
  <c r="X106" i="1"/>
  <c r="X110" i="1"/>
  <c r="C12" i="5"/>
  <c r="D12" i="5"/>
  <c r="E12" i="5"/>
  <c r="F12" i="5"/>
  <c r="G12" i="5"/>
  <c r="H12" i="5"/>
  <c r="AN12" i="1"/>
  <c r="AN104" i="1"/>
  <c r="AN108" i="1"/>
  <c r="AN112" i="1"/>
  <c r="AN6" i="1"/>
  <c r="AN103" i="1"/>
  <c r="AN107" i="1"/>
  <c r="AN111" i="1"/>
  <c r="AF6" i="1"/>
  <c r="AF106" i="1"/>
  <c r="AF110" i="1"/>
  <c r="AF114" i="1"/>
  <c r="AF40" i="1"/>
  <c r="AF42" i="1"/>
  <c r="AF105" i="1"/>
  <c r="AF109" i="1"/>
  <c r="AF113" i="1"/>
  <c r="C11" i="5"/>
  <c r="D11" i="5"/>
  <c r="E11" i="5"/>
  <c r="F11" i="5"/>
  <c r="G11" i="5"/>
  <c r="H11" i="5"/>
  <c r="B10" i="5"/>
  <c r="C10" i="5" s="1"/>
  <c r="AN168" i="1"/>
  <c r="AF167" i="1"/>
  <c r="AN160" i="1"/>
  <c r="AF159" i="1"/>
  <c r="X157" i="1"/>
  <c r="AA155" i="1"/>
  <c r="AN152" i="1"/>
  <c r="AA152" i="1"/>
  <c r="X151" i="1"/>
  <c r="AF150" i="1"/>
  <c r="AN148" i="1"/>
  <c r="AA148" i="1"/>
  <c r="X147" i="1"/>
  <c r="AF146" i="1"/>
  <c r="AN144" i="1"/>
  <c r="AA144" i="1"/>
  <c r="X143" i="1"/>
  <c r="AF142" i="1"/>
  <c r="AN140" i="1"/>
  <c r="AA140" i="1"/>
  <c r="X139" i="1"/>
  <c r="AF138" i="1"/>
  <c r="AN136" i="1"/>
  <c r="AA136" i="1"/>
  <c r="X135" i="1"/>
  <c r="AF134" i="1"/>
  <c r="AN132" i="1"/>
  <c r="AA132" i="1"/>
  <c r="X131" i="1"/>
  <c r="AF130" i="1"/>
  <c r="AN128" i="1"/>
  <c r="AA128" i="1"/>
  <c r="X127" i="1"/>
  <c r="AF126" i="1"/>
  <c r="AN124" i="1"/>
  <c r="AA124" i="1"/>
  <c r="X123" i="1"/>
  <c r="AF122" i="1"/>
  <c r="AN120" i="1"/>
  <c r="AA120" i="1"/>
  <c r="X119" i="1"/>
  <c r="AF118" i="1"/>
  <c r="AN116" i="1"/>
  <c r="AA116" i="1"/>
  <c r="X113" i="1"/>
  <c r="AA110" i="1"/>
  <c r="AF107" i="1"/>
  <c r="AN106" i="1"/>
  <c r="X104" i="1"/>
  <c r="X100" i="1"/>
  <c r="AF97" i="1"/>
  <c r="AA96" i="1"/>
  <c r="AN91" i="1"/>
  <c r="X84" i="1"/>
  <c r="AF81" i="1"/>
  <c r="AA80" i="1"/>
  <c r="AN75" i="1"/>
  <c r="X68" i="1"/>
  <c r="AF65" i="1"/>
  <c r="AA64" i="1"/>
  <c r="AN59" i="1"/>
  <c r="X52" i="1"/>
  <c r="AF49" i="1"/>
  <c r="AA48" i="1"/>
  <c r="AN43" i="1"/>
  <c r="AF38" i="1"/>
  <c r="AN32" i="1"/>
  <c r="AF30" i="1"/>
  <c r="J13" i="5"/>
  <c r="H13" i="5"/>
  <c r="AJ102" i="1"/>
  <c r="AG101" i="1"/>
  <c r="AE100" i="1"/>
  <c r="AJ98" i="1"/>
  <c r="AG97" i="1"/>
  <c r="AE96" i="1"/>
  <c r="AJ94" i="1"/>
  <c r="AG93" i="1"/>
  <c r="AE92" i="1"/>
  <c r="AJ90" i="1"/>
  <c r="AG89" i="1"/>
  <c r="AE88" i="1"/>
  <c r="AJ86" i="1"/>
  <c r="AG85" i="1"/>
  <c r="AE84" i="1"/>
  <c r="AJ82" i="1"/>
  <c r="AG81" i="1"/>
  <c r="AE80" i="1"/>
  <c r="AJ78" i="1"/>
  <c r="AG77" i="1"/>
  <c r="AE76" i="1"/>
  <c r="AJ74" i="1"/>
  <c r="AG73" i="1"/>
  <c r="AE72" i="1"/>
  <c r="AJ70" i="1"/>
  <c r="AG69" i="1"/>
  <c r="AE68" i="1"/>
  <c r="AJ66" i="1"/>
  <c r="AG65" i="1"/>
  <c r="AE64" i="1"/>
  <c r="AJ62" i="1"/>
  <c r="AG61" i="1"/>
  <c r="AE60" i="1"/>
  <c r="AJ58" i="1"/>
  <c r="AG57" i="1"/>
  <c r="AE56" i="1"/>
  <c r="AJ54" i="1"/>
  <c r="AG53" i="1"/>
  <c r="AE52" i="1"/>
  <c r="AJ50" i="1"/>
  <c r="AG49" i="1"/>
  <c r="AE48" i="1"/>
  <c r="AJ46" i="1"/>
  <c r="AG45" i="1"/>
  <c r="AE44" i="1"/>
  <c r="AB38" i="1"/>
  <c r="AB36" i="1"/>
  <c r="AB34" i="1"/>
  <c r="AB32" i="1"/>
  <c r="AE15" i="1"/>
  <c r="W13" i="1"/>
  <c r="AG11" i="1"/>
  <c r="AE5" i="1"/>
  <c r="L14" i="5"/>
  <c r="F13" i="5"/>
  <c r="J14" i="5"/>
  <c r="D13" i="5"/>
  <c r="AG102" i="1"/>
  <c r="AE101" i="1"/>
  <c r="AJ99" i="1"/>
  <c r="AG98" i="1"/>
  <c r="AE97" i="1"/>
  <c r="AJ95" i="1"/>
  <c r="AG94" i="1"/>
  <c r="AE93" i="1"/>
  <c r="AJ91" i="1"/>
  <c r="AG90" i="1"/>
  <c r="AE89" i="1"/>
  <c r="AJ87" i="1"/>
  <c r="AG86" i="1"/>
  <c r="AE85" i="1"/>
  <c r="AJ83" i="1"/>
  <c r="AG82" i="1"/>
  <c r="AE81" i="1"/>
  <c r="AJ79" i="1"/>
  <c r="AG78" i="1"/>
  <c r="AE77" i="1"/>
  <c r="AJ75" i="1"/>
  <c r="AG74" i="1"/>
  <c r="AE73" i="1"/>
  <c r="AJ71" i="1"/>
  <c r="AG70" i="1"/>
  <c r="AE69" i="1"/>
  <c r="AJ67" i="1"/>
  <c r="AG66" i="1"/>
  <c r="AE65" i="1"/>
  <c r="AJ63" i="1"/>
  <c r="AG62" i="1"/>
  <c r="AE61" i="1"/>
  <c r="AJ59" i="1"/>
  <c r="AG58" i="1"/>
  <c r="AE57" i="1"/>
  <c r="AJ55" i="1"/>
  <c r="AG54" i="1"/>
  <c r="AE53" i="1"/>
  <c r="AJ51" i="1"/>
  <c r="AG50" i="1"/>
  <c r="AE49" i="1"/>
  <c r="AJ47" i="1"/>
  <c r="K14" i="5"/>
  <c r="I14" i="5"/>
  <c r="G14" i="5"/>
  <c r="E14" i="5"/>
  <c r="K13" i="5"/>
  <c r="I13" i="5"/>
  <c r="G13" i="5"/>
  <c r="E13" i="5"/>
  <c r="G9" i="5"/>
  <c r="E9" i="5"/>
  <c r="F8" i="5"/>
  <c r="E7" i="5"/>
  <c r="AI204" i="1"/>
  <c r="AI203" i="1"/>
  <c r="AI202" i="1"/>
  <c r="AI201" i="1"/>
  <c r="AI200" i="1"/>
  <c r="AI199" i="1"/>
  <c r="AI198" i="1"/>
  <c r="AI197" i="1"/>
  <c r="AI196" i="1"/>
  <c r="AI195" i="1"/>
  <c r="AI194" i="1"/>
  <c r="AI193" i="1"/>
  <c r="AI192" i="1"/>
  <c r="AI191" i="1"/>
  <c r="AI190" i="1"/>
  <c r="AI189" i="1"/>
  <c r="AI188" i="1"/>
  <c r="AI187" i="1"/>
  <c r="AI186" i="1"/>
  <c r="AI185" i="1"/>
  <c r="AI184" i="1"/>
  <c r="AI183" i="1"/>
  <c r="AI182" i="1"/>
  <c r="AI181" i="1"/>
  <c r="AI180" i="1"/>
  <c r="AI179" i="1"/>
  <c r="AI178" i="1"/>
  <c r="AI177" i="1"/>
  <c r="AI176" i="1"/>
  <c r="AI175" i="1"/>
  <c r="AI174" i="1"/>
  <c r="AI173" i="1"/>
  <c r="AI172" i="1"/>
  <c r="AI171" i="1"/>
  <c r="AI170" i="1"/>
  <c r="AI169" i="1"/>
  <c r="AI168" i="1"/>
  <c r="AI167" i="1"/>
  <c r="AI166" i="1"/>
  <c r="AI165" i="1"/>
  <c r="AI164" i="1"/>
  <c r="AI163" i="1"/>
  <c r="AI162" i="1"/>
  <c r="AI161" i="1"/>
  <c r="AI160" i="1"/>
  <c r="AI159" i="1"/>
  <c r="AI158" i="1"/>
  <c r="AI157" i="1"/>
  <c r="AI156" i="1"/>
  <c r="AI155" i="1"/>
  <c r="AI154" i="1"/>
  <c r="AI153" i="1"/>
  <c r="P2" i="3"/>
  <c r="P13" i="3"/>
  <c r="D5" i="2"/>
  <c r="B5" i="2"/>
  <c r="P77" i="3"/>
  <c r="P44" i="3"/>
  <c r="P92" i="3"/>
  <c r="P61" i="3"/>
  <c r="P28" i="3"/>
  <c r="AK170" i="1"/>
  <c r="AK202" i="1"/>
  <c r="V202" i="1"/>
  <c r="AM201" i="1"/>
  <c r="AK138" i="1"/>
  <c r="P100" i="3"/>
  <c r="P85" i="3"/>
  <c r="P69" i="3"/>
  <c r="P52" i="3"/>
  <c r="P36" i="3"/>
  <c r="P21" i="3"/>
  <c r="AK186" i="1"/>
  <c r="V186" i="1"/>
  <c r="AM185" i="1"/>
  <c r="AM155" i="1"/>
  <c r="AK119" i="1"/>
  <c r="AK74" i="1"/>
  <c r="P96" i="3"/>
  <c r="P89" i="3"/>
  <c r="P81" i="3"/>
  <c r="P73" i="3"/>
  <c r="P65" i="3"/>
  <c r="P56" i="3"/>
  <c r="P48" i="3"/>
  <c r="P40" i="3"/>
  <c r="P32" i="3"/>
  <c r="P25" i="3"/>
  <c r="P17" i="3"/>
  <c r="AK194" i="1"/>
  <c r="V194" i="1"/>
  <c r="AM193" i="1"/>
  <c r="AK178" i="1"/>
  <c r="V178" i="1"/>
  <c r="AM177" i="1"/>
  <c r="AL165" i="1"/>
  <c r="AK147" i="1"/>
  <c r="AH129" i="1"/>
  <c r="AD129" i="1"/>
  <c r="Z129" i="1"/>
  <c r="V129" i="1"/>
  <c r="AM128" i="1"/>
  <c r="AK110" i="1"/>
  <c r="AK90" i="1"/>
  <c r="AK58" i="1"/>
  <c r="P98" i="3"/>
  <c r="P94" i="3"/>
  <c r="P91" i="3"/>
  <c r="P87" i="3"/>
  <c r="P83" i="3"/>
  <c r="P79" i="3"/>
  <c r="P75" i="3"/>
  <c r="P71" i="3"/>
  <c r="P67" i="3"/>
  <c r="P63" i="3"/>
  <c r="P58" i="3"/>
  <c r="P54" i="3"/>
  <c r="P50" i="3"/>
  <c r="P46" i="3"/>
  <c r="P42" i="3"/>
  <c r="P38" i="3"/>
  <c r="P34" i="3"/>
  <c r="P30" i="3"/>
  <c r="P27" i="3"/>
  <c r="P23" i="3"/>
  <c r="P19" i="3"/>
  <c r="P15" i="3"/>
  <c r="P11" i="3"/>
  <c r="P10" i="3"/>
  <c r="P9" i="3"/>
  <c r="P8" i="3"/>
  <c r="P7" i="3"/>
  <c r="P6" i="3"/>
  <c r="P5" i="3"/>
  <c r="P4" i="3"/>
  <c r="AK198" i="1"/>
  <c r="V198" i="1"/>
  <c r="AM197" i="1"/>
  <c r="AK190" i="1"/>
  <c r="V190" i="1"/>
  <c r="AM189" i="1"/>
  <c r="AK182" i="1"/>
  <c r="V182" i="1"/>
  <c r="AM181" i="1"/>
  <c r="AK174" i="1"/>
  <c r="V174" i="1"/>
  <c r="AM173" i="1"/>
  <c r="AK168" i="1"/>
  <c r="AH161" i="1"/>
  <c r="AD161" i="1"/>
  <c r="Z161" i="1"/>
  <c r="V161" i="1"/>
  <c r="AM160" i="1"/>
  <c r="AK151" i="1"/>
  <c r="AK142" i="1"/>
  <c r="AL133" i="1"/>
  <c r="AM123" i="1"/>
  <c r="AK115" i="1"/>
  <c r="AK106" i="1"/>
  <c r="AK98" i="1"/>
  <c r="AK82" i="1"/>
  <c r="AK66" i="1"/>
  <c r="AK50" i="1"/>
  <c r="AK204" i="1"/>
  <c r="V204" i="1"/>
  <c r="AM203" i="1"/>
  <c r="AK200" i="1"/>
  <c r="V200" i="1"/>
  <c r="AM199" i="1"/>
  <c r="AK196" i="1"/>
  <c r="V196" i="1"/>
  <c r="AM195" i="1"/>
  <c r="AK192" i="1"/>
  <c r="V192" i="1"/>
  <c r="AM191" i="1"/>
  <c r="AK188" i="1"/>
  <c r="V188" i="1"/>
  <c r="AM187" i="1"/>
  <c r="AK184" i="1"/>
  <c r="V184" i="1"/>
  <c r="AM183" i="1"/>
  <c r="AK180" i="1"/>
  <c r="V180" i="1"/>
  <c r="AM179" i="1"/>
  <c r="AK176" i="1"/>
  <c r="V176" i="1"/>
  <c r="AM175" i="1"/>
  <c r="AK172" i="1"/>
  <c r="V172" i="1"/>
  <c r="AM171" i="1"/>
  <c r="AK169" i="1"/>
  <c r="AK167" i="1"/>
  <c r="AK163" i="1"/>
  <c r="AK158" i="1"/>
  <c r="AK154" i="1"/>
  <c r="AL149" i="1"/>
  <c r="AH145" i="1"/>
  <c r="AD145" i="1"/>
  <c r="Z145" i="1"/>
  <c r="V145" i="1"/>
  <c r="AM144" i="1"/>
  <c r="AM139" i="1"/>
  <c r="AK135" i="1"/>
  <c r="AK131" i="1"/>
  <c r="AK126" i="1"/>
  <c r="AK122" i="1"/>
  <c r="AL117" i="1"/>
  <c r="AH113" i="1"/>
  <c r="AD113" i="1"/>
  <c r="Z113" i="1"/>
  <c r="V113" i="1"/>
  <c r="AM112" i="1"/>
  <c r="AM107" i="1"/>
  <c r="AK104" i="1"/>
  <c r="AK100" i="1"/>
  <c r="AK94" i="1"/>
  <c r="AK86" i="1"/>
  <c r="AK78" i="1"/>
  <c r="AK70" i="1"/>
  <c r="AK62" i="1"/>
  <c r="AK54" i="1"/>
  <c r="AK46" i="1"/>
  <c r="AM204" i="1"/>
  <c r="AK203" i="1"/>
  <c r="AK201" i="1"/>
  <c r="AK199" i="1"/>
  <c r="AK197" i="1"/>
  <c r="AK195" i="1"/>
  <c r="AK193" i="1"/>
  <c r="AK191" i="1"/>
  <c r="AK189" i="1"/>
  <c r="AK187" i="1"/>
  <c r="AK185" i="1"/>
  <c r="AK183" i="1"/>
  <c r="AK181" i="1"/>
  <c r="AK179" i="1"/>
  <c r="AK177" i="1"/>
  <c r="AK175" i="1"/>
  <c r="AK173" i="1"/>
  <c r="AK171" i="1"/>
  <c r="AL169" i="1"/>
  <c r="AH169" i="1"/>
  <c r="AD169" i="1"/>
  <c r="Z169" i="1"/>
  <c r="V169" i="1"/>
  <c r="AM168" i="1"/>
  <c r="AM167" i="1"/>
  <c r="AK166" i="1"/>
  <c r="AM163" i="1"/>
  <c r="AK162" i="1"/>
  <c r="AK159" i="1"/>
  <c r="AL157" i="1"/>
  <c r="AK155" i="1"/>
  <c r="AH153" i="1"/>
  <c r="AD153" i="1"/>
  <c r="Z153" i="1"/>
  <c r="V153" i="1"/>
  <c r="AM152" i="1"/>
  <c r="AK150" i="1"/>
  <c r="AM147" i="1"/>
  <c r="AK146" i="1"/>
  <c r="AK143" i="1"/>
  <c r="AL141" i="1"/>
  <c r="AK139" i="1"/>
  <c r="AH137" i="1"/>
  <c r="AD137" i="1"/>
  <c r="Z137" i="1"/>
  <c r="V137" i="1"/>
  <c r="AM136" i="1"/>
  <c r="AK134" i="1"/>
  <c r="AM131" i="1"/>
  <c r="AK130" i="1"/>
  <c r="AK127" i="1"/>
  <c r="AL125" i="1"/>
  <c r="AK123" i="1"/>
  <c r="AH121" i="1"/>
  <c r="AD121" i="1"/>
  <c r="Z121" i="1"/>
  <c r="V121" i="1"/>
  <c r="AM120" i="1"/>
  <c r="AK118" i="1"/>
  <c r="AM115" i="1"/>
  <c r="AK114" i="1"/>
  <c r="AK111" i="1"/>
  <c r="AL109" i="1"/>
  <c r="AK107" i="1"/>
  <c r="AK105" i="1"/>
  <c r="AK103" i="1"/>
  <c r="AK101" i="1"/>
  <c r="AK99" i="1"/>
  <c r="AK96" i="1"/>
  <c r="AK92" i="1"/>
  <c r="AK88" i="1"/>
  <c r="AK84" i="1"/>
  <c r="AK80" i="1"/>
  <c r="AK76" i="1"/>
  <c r="AK72" i="1"/>
  <c r="AK68" i="1"/>
  <c r="AK64" i="1"/>
  <c r="AK60" i="1"/>
  <c r="AK56" i="1"/>
  <c r="AK52" i="1"/>
  <c r="AK48" i="1"/>
  <c r="AK44" i="1"/>
  <c r="AM35" i="1"/>
  <c r="AH24" i="1"/>
  <c r="AL203" i="1"/>
  <c r="AH203" i="1"/>
  <c r="AD203" i="1"/>
  <c r="Z203" i="1"/>
  <c r="V203" i="1"/>
  <c r="AM202" i="1"/>
  <c r="AL201" i="1"/>
  <c r="AH201" i="1"/>
  <c r="AD201" i="1"/>
  <c r="Z201" i="1"/>
  <c r="V201" i="1"/>
  <c r="AM200" i="1"/>
  <c r="AL199" i="1"/>
  <c r="AH199" i="1"/>
  <c r="AD199" i="1"/>
  <c r="Z199" i="1"/>
  <c r="V199" i="1"/>
  <c r="AM198" i="1"/>
  <c r="AL197" i="1"/>
  <c r="AH197" i="1"/>
  <c r="AD197" i="1"/>
  <c r="Z197" i="1"/>
  <c r="V197" i="1"/>
  <c r="AM196" i="1"/>
  <c r="AL195" i="1"/>
  <c r="AH195" i="1"/>
  <c r="AD195" i="1"/>
  <c r="Z195" i="1"/>
  <c r="V195" i="1"/>
  <c r="AM194" i="1"/>
  <c r="AL193" i="1"/>
  <c r="AH193" i="1"/>
  <c r="AD193" i="1"/>
  <c r="Z193" i="1"/>
  <c r="V193" i="1"/>
  <c r="AM192" i="1"/>
  <c r="AL191" i="1"/>
  <c r="AH191" i="1"/>
  <c r="AD191" i="1"/>
  <c r="Z191" i="1"/>
  <c r="V191" i="1"/>
  <c r="AM190" i="1"/>
  <c r="AL189" i="1"/>
  <c r="AH189" i="1"/>
  <c r="AD189" i="1"/>
  <c r="Z189" i="1"/>
  <c r="V189" i="1"/>
  <c r="AM188" i="1"/>
  <c r="AL187" i="1"/>
  <c r="AH187" i="1"/>
  <c r="AD187" i="1"/>
  <c r="Z187" i="1"/>
  <c r="V187" i="1"/>
  <c r="AM186" i="1"/>
  <c r="AL185" i="1"/>
  <c r="AH185" i="1"/>
  <c r="AD185" i="1"/>
  <c r="Z185" i="1"/>
  <c r="V185" i="1"/>
  <c r="AM184" i="1"/>
  <c r="AL183" i="1"/>
  <c r="AH183" i="1"/>
  <c r="AD183" i="1"/>
  <c r="Z183" i="1"/>
  <c r="V183" i="1"/>
  <c r="AM182" i="1"/>
  <c r="AL181" i="1"/>
  <c r="AH181" i="1"/>
  <c r="AD181" i="1"/>
  <c r="Z181" i="1"/>
  <c r="V181" i="1"/>
  <c r="AM180" i="1"/>
  <c r="AL179" i="1"/>
  <c r="AH179" i="1"/>
  <c r="AD179" i="1"/>
  <c r="Z179" i="1"/>
  <c r="V179" i="1"/>
  <c r="AM178" i="1"/>
  <c r="AL177" i="1"/>
  <c r="AH177" i="1"/>
  <c r="AD177" i="1"/>
  <c r="Z177" i="1"/>
  <c r="V177" i="1"/>
  <c r="AM176" i="1"/>
  <c r="AL175" i="1"/>
  <c r="AH175" i="1"/>
  <c r="AD175" i="1"/>
  <c r="Z175" i="1"/>
  <c r="V175" i="1"/>
  <c r="AM174" i="1"/>
  <c r="AL173" i="1"/>
  <c r="AH173" i="1"/>
  <c r="AD173" i="1"/>
  <c r="Z173" i="1"/>
  <c r="V173" i="1"/>
  <c r="AM172" i="1"/>
  <c r="AL171" i="1"/>
  <c r="AH171" i="1"/>
  <c r="AD171" i="1"/>
  <c r="Z171" i="1"/>
  <c r="V171" i="1"/>
  <c r="AM170" i="1"/>
  <c r="AM169" i="1"/>
  <c r="AL167" i="1"/>
  <c r="AH167" i="1"/>
  <c r="AD167" i="1"/>
  <c r="AH165" i="1"/>
  <c r="AD165" i="1"/>
  <c r="Z165" i="1"/>
  <c r="V165" i="1"/>
  <c r="AM164" i="1"/>
  <c r="AL161" i="1"/>
  <c r="AM159" i="1"/>
  <c r="AH157" i="1"/>
  <c r="AD157" i="1"/>
  <c r="Z157" i="1"/>
  <c r="V157" i="1"/>
  <c r="AM156" i="1"/>
  <c r="AL153" i="1"/>
  <c r="AM151" i="1"/>
  <c r="AH149" i="1"/>
  <c r="AD149" i="1"/>
  <c r="Z149" i="1"/>
  <c r="V149" i="1"/>
  <c r="AM148" i="1"/>
  <c r="AL145" i="1"/>
  <c r="AM143" i="1"/>
  <c r="AH141" i="1"/>
  <c r="AD141" i="1"/>
  <c r="Z141" i="1"/>
  <c r="V141" i="1"/>
  <c r="AM140" i="1"/>
  <c r="AL137" i="1"/>
  <c r="AM135" i="1"/>
  <c r="AH133" i="1"/>
  <c r="AD133" i="1"/>
  <c r="Z133" i="1"/>
  <c r="V133" i="1"/>
  <c r="AM132" i="1"/>
  <c r="AL129" i="1"/>
  <c r="AM127" i="1"/>
  <c r="AH125" i="1"/>
  <c r="AD125" i="1"/>
  <c r="Z125" i="1"/>
  <c r="V125" i="1"/>
  <c r="AM124" i="1"/>
  <c r="AL121" i="1"/>
  <c r="AM119" i="1"/>
  <c r="AH117" i="1"/>
  <c r="AD117" i="1"/>
  <c r="Z117" i="1"/>
  <c r="V117" i="1"/>
  <c r="AM116" i="1"/>
  <c r="AL113" i="1"/>
  <c r="AM111" i="1"/>
  <c r="AH109" i="1"/>
  <c r="AD109" i="1"/>
  <c r="Z109" i="1"/>
  <c r="V109" i="1"/>
  <c r="AL38" i="1"/>
  <c r="AH38" i="1"/>
  <c r="Z38" i="1"/>
  <c r="AL30" i="1"/>
  <c r="AH28" i="1"/>
  <c r="AL43" i="1"/>
  <c r="AL47" i="1"/>
  <c r="AL51" i="1"/>
  <c r="AL55" i="1"/>
  <c r="AL59" i="1"/>
  <c r="AL63" i="1"/>
  <c r="AL67" i="1"/>
  <c r="AL71" i="1"/>
  <c r="AL75" i="1"/>
  <c r="AL79" i="1"/>
  <c r="AL83" i="1"/>
  <c r="AL87" i="1"/>
  <c r="AL91" i="1"/>
  <c r="AL95" i="1"/>
  <c r="AL99" i="1"/>
  <c r="AL101" i="1"/>
  <c r="AL103" i="1"/>
  <c r="AL105" i="1"/>
  <c r="AL107" i="1"/>
  <c r="AL111" i="1"/>
  <c r="AL115" i="1"/>
  <c r="AL119" i="1"/>
  <c r="AL123" i="1"/>
  <c r="AL127" i="1"/>
  <c r="AL131" i="1"/>
  <c r="AL135" i="1"/>
  <c r="AL139" i="1"/>
  <c r="AL143" i="1"/>
  <c r="AL147" i="1"/>
  <c r="AL151" i="1"/>
  <c r="AL155" i="1"/>
  <c r="AL159" i="1"/>
  <c r="AL163" i="1"/>
  <c r="AH14" i="1"/>
  <c r="AH18" i="1"/>
  <c r="AH22" i="1"/>
  <c r="AH26" i="1"/>
  <c r="AH45" i="1"/>
  <c r="AH49" i="1"/>
  <c r="AH53" i="1"/>
  <c r="AH57" i="1"/>
  <c r="AH61" i="1"/>
  <c r="AH65" i="1"/>
  <c r="AH69" i="1"/>
  <c r="AH73" i="1"/>
  <c r="AH77" i="1"/>
  <c r="AH81" i="1"/>
  <c r="AH85" i="1"/>
  <c r="AH89" i="1"/>
  <c r="AH93" i="1"/>
  <c r="AH97" i="1"/>
  <c r="AH99" i="1"/>
  <c r="AH101" i="1"/>
  <c r="AH103" i="1"/>
  <c r="AH105" i="1"/>
  <c r="AH107" i="1"/>
  <c r="AH111" i="1"/>
  <c r="AH115" i="1"/>
  <c r="AH119" i="1"/>
  <c r="AH123" i="1"/>
  <c r="AH127" i="1"/>
  <c r="AH131" i="1"/>
  <c r="AH135" i="1"/>
  <c r="AH139" i="1"/>
  <c r="AH143" i="1"/>
  <c r="AH147" i="1"/>
  <c r="AH151" i="1"/>
  <c r="AH155" i="1"/>
  <c r="AH159" i="1"/>
  <c r="AH163" i="1"/>
  <c r="AD45" i="1"/>
  <c r="AD49" i="1"/>
  <c r="AD53" i="1"/>
  <c r="AD57" i="1"/>
  <c r="AD61" i="1"/>
  <c r="AD65" i="1"/>
  <c r="AD69" i="1"/>
  <c r="AD73" i="1"/>
  <c r="AD77" i="1"/>
  <c r="AD81" i="1"/>
  <c r="AD85" i="1"/>
  <c r="AD89" i="1"/>
  <c r="AD93" i="1"/>
  <c r="AD97" i="1"/>
  <c r="AD99" i="1"/>
  <c r="AD101" i="1"/>
  <c r="AD103" i="1"/>
  <c r="AD105" i="1"/>
  <c r="AD107" i="1"/>
  <c r="AD111" i="1"/>
  <c r="AD115" i="1"/>
  <c r="AD119" i="1"/>
  <c r="AD123" i="1"/>
  <c r="AD127" i="1"/>
  <c r="AD131" i="1"/>
  <c r="AD135" i="1"/>
  <c r="AD139" i="1"/>
  <c r="AD143" i="1"/>
  <c r="AD147" i="1"/>
  <c r="AD151" i="1"/>
  <c r="AD155" i="1"/>
  <c r="AD159" i="1"/>
  <c r="AD163" i="1"/>
  <c r="Z45" i="1"/>
  <c r="Z49" i="1"/>
  <c r="Z53" i="1"/>
  <c r="Z57" i="1"/>
  <c r="Z61" i="1"/>
  <c r="Z65" i="1"/>
  <c r="Z69" i="1"/>
  <c r="Z73" i="1"/>
  <c r="Z77" i="1"/>
  <c r="Z81" i="1"/>
  <c r="Z85" i="1"/>
  <c r="Z89" i="1"/>
  <c r="Z93" i="1"/>
  <c r="Z97" i="1"/>
  <c r="Z99" i="1"/>
  <c r="Z101" i="1"/>
  <c r="Z103" i="1"/>
  <c r="Z105" i="1"/>
  <c r="Z107" i="1"/>
  <c r="Z111" i="1"/>
  <c r="Z115" i="1"/>
  <c r="Z119" i="1"/>
  <c r="Z123" i="1"/>
  <c r="Z127" i="1"/>
  <c r="Z131" i="1"/>
  <c r="Z135" i="1"/>
  <c r="Z139" i="1"/>
  <c r="Z143" i="1"/>
  <c r="Z147" i="1"/>
  <c r="Z151" i="1"/>
  <c r="Z155" i="1"/>
  <c r="Z159" i="1"/>
  <c r="Z163" i="1"/>
  <c r="Z167" i="1"/>
  <c r="V10" i="1"/>
  <c r="V45" i="1"/>
  <c r="V49" i="1"/>
  <c r="V53" i="1"/>
  <c r="V57" i="1"/>
  <c r="V61" i="1"/>
  <c r="V65" i="1"/>
  <c r="V69" i="1"/>
  <c r="V73" i="1"/>
  <c r="V77" i="1"/>
  <c r="V81" i="1"/>
  <c r="V85" i="1"/>
  <c r="V89" i="1"/>
  <c r="V93" i="1"/>
  <c r="V97" i="1"/>
  <c r="V99" i="1"/>
  <c r="V101" i="1"/>
  <c r="V103" i="1"/>
  <c r="V105" i="1"/>
  <c r="V107" i="1"/>
  <c r="V111" i="1"/>
  <c r="V115" i="1"/>
  <c r="V119" i="1"/>
  <c r="V123" i="1"/>
  <c r="V127" i="1"/>
  <c r="V131" i="1"/>
  <c r="V135" i="1"/>
  <c r="V139" i="1"/>
  <c r="V143" i="1"/>
  <c r="V147" i="1"/>
  <c r="V151" i="1"/>
  <c r="V155" i="1"/>
  <c r="V159" i="1"/>
  <c r="V163" i="1"/>
  <c r="V167" i="1"/>
  <c r="AM9" i="1"/>
  <c r="AM44" i="1"/>
  <c r="AM48" i="1"/>
  <c r="AM52" i="1"/>
  <c r="AM56" i="1"/>
  <c r="AM60" i="1"/>
  <c r="AM64" i="1"/>
  <c r="AM68" i="1"/>
  <c r="AM72" i="1"/>
  <c r="AM76" i="1"/>
  <c r="AM80" i="1"/>
  <c r="AM84" i="1"/>
  <c r="AM88" i="1"/>
  <c r="AM92" i="1"/>
  <c r="AM96" i="1"/>
  <c r="AM98" i="1"/>
  <c r="AM100" i="1"/>
  <c r="AM102" i="1"/>
  <c r="AM104" i="1"/>
  <c r="AM106" i="1"/>
  <c r="AM109" i="1"/>
  <c r="AM110" i="1"/>
  <c r="AM113" i="1"/>
  <c r="AM114" i="1"/>
  <c r="AM117" i="1"/>
  <c r="AM118" i="1"/>
  <c r="AM121" i="1"/>
  <c r="AM122" i="1"/>
  <c r="AM125" i="1"/>
  <c r="AM126" i="1"/>
  <c r="AM129" i="1"/>
  <c r="AM130" i="1"/>
  <c r="AM133" i="1"/>
  <c r="AM134" i="1"/>
  <c r="AM137" i="1"/>
  <c r="AM138" i="1"/>
  <c r="AM141" i="1"/>
  <c r="AM142" i="1"/>
  <c r="AM145" i="1"/>
  <c r="AM146" i="1"/>
  <c r="AM149" i="1"/>
  <c r="AM150" i="1"/>
  <c r="AM153" i="1"/>
  <c r="AM154" i="1"/>
  <c r="AM157" i="1"/>
  <c r="AM158" i="1"/>
  <c r="AM161" i="1"/>
  <c r="AM162" i="1"/>
  <c r="AM165" i="1"/>
  <c r="AM166" i="1"/>
  <c r="AK165" i="1"/>
  <c r="AK164" i="1"/>
  <c r="AK161" i="1"/>
  <c r="AK160" i="1"/>
  <c r="AK157" i="1"/>
  <c r="AK156" i="1"/>
  <c r="AK153" i="1"/>
  <c r="AK152" i="1"/>
  <c r="AK149" i="1"/>
  <c r="AK148" i="1"/>
  <c r="AK145" i="1"/>
  <c r="AK144" i="1"/>
  <c r="AK141" i="1"/>
  <c r="AK140" i="1"/>
  <c r="AK137" i="1"/>
  <c r="AK136" i="1"/>
  <c r="AK133" i="1"/>
  <c r="AK132" i="1"/>
  <c r="AK129" i="1"/>
  <c r="AK128" i="1"/>
  <c r="AK125" i="1"/>
  <c r="AK124" i="1"/>
  <c r="AK121" i="1"/>
  <c r="AK120" i="1"/>
  <c r="AK117" i="1"/>
  <c r="AK116" i="1"/>
  <c r="AK113" i="1"/>
  <c r="AK112" i="1"/>
  <c r="AK109" i="1"/>
  <c r="AK108" i="1"/>
  <c r="AK41" i="1"/>
  <c r="AK37" i="1"/>
  <c r="AK33" i="1"/>
  <c r="AL6" i="1"/>
  <c r="AL12" i="1"/>
  <c r="AL31" i="1"/>
  <c r="AL33" i="1"/>
  <c r="AL35" i="1"/>
  <c r="AL37" i="1"/>
  <c r="AL39" i="1"/>
  <c r="AL41" i="1"/>
  <c r="AL8" i="1"/>
  <c r="AL14" i="1"/>
  <c r="AL16" i="1"/>
  <c r="AL18" i="1"/>
  <c r="AL20" i="1"/>
  <c r="AL22" i="1"/>
  <c r="AL24" i="1"/>
  <c r="AL26" i="1"/>
  <c r="AL28" i="1"/>
  <c r="AL32" i="1"/>
  <c r="AL36" i="1"/>
  <c r="AL40" i="1"/>
  <c r="AL44" i="1"/>
  <c r="AL46" i="1"/>
  <c r="AL48" i="1"/>
  <c r="AL50" i="1"/>
  <c r="AL52" i="1"/>
  <c r="AL54" i="1"/>
  <c r="AL56" i="1"/>
  <c r="AL58" i="1"/>
  <c r="AL60" i="1"/>
  <c r="AL62" i="1"/>
  <c r="AL64" i="1"/>
  <c r="AL66" i="1"/>
  <c r="AL68" i="1"/>
  <c r="AL70" i="1"/>
  <c r="AL72" i="1"/>
  <c r="AL74" i="1"/>
  <c r="AL76" i="1"/>
  <c r="AL78" i="1"/>
  <c r="AL80" i="1"/>
  <c r="AL82" i="1"/>
  <c r="AL84" i="1"/>
  <c r="AL86" i="1"/>
  <c r="AL88" i="1"/>
  <c r="AL90" i="1"/>
  <c r="AL92" i="1"/>
  <c r="AL94" i="1"/>
  <c r="AL96" i="1"/>
  <c r="AH6" i="1"/>
  <c r="AH12" i="1"/>
  <c r="AH30" i="1"/>
  <c r="AH31" i="1"/>
  <c r="AH33" i="1"/>
  <c r="AH35" i="1"/>
  <c r="AH37" i="1"/>
  <c r="AH39" i="1"/>
  <c r="AH41" i="1"/>
  <c r="AH10" i="1"/>
  <c r="AH32" i="1"/>
  <c r="AH36" i="1"/>
  <c r="AH40" i="1"/>
  <c r="AH44" i="1"/>
  <c r="AH46" i="1"/>
  <c r="AH48" i="1"/>
  <c r="AH50" i="1"/>
  <c r="AH52" i="1"/>
  <c r="AH54" i="1"/>
  <c r="AH56" i="1"/>
  <c r="AH58" i="1"/>
  <c r="AH60" i="1"/>
  <c r="AH62" i="1"/>
  <c r="AH64" i="1"/>
  <c r="AH66" i="1"/>
  <c r="AH68" i="1"/>
  <c r="AH70" i="1"/>
  <c r="AH72" i="1"/>
  <c r="AH74" i="1"/>
  <c r="AH76" i="1"/>
  <c r="AH78" i="1"/>
  <c r="AH80" i="1"/>
  <c r="AH82" i="1"/>
  <c r="AH84" i="1"/>
  <c r="AH86" i="1"/>
  <c r="AH88" i="1"/>
  <c r="AH90" i="1"/>
  <c r="AH92" i="1"/>
  <c r="AH94" i="1"/>
  <c r="AH96" i="1"/>
  <c r="AH98" i="1"/>
  <c r="AD6" i="1"/>
  <c r="AD12" i="1"/>
  <c r="AD30" i="1"/>
  <c r="AD31" i="1"/>
  <c r="AD33" i="1"/>
  <c r="AD35" i="1"/>
  <c r="AD37" i="1"/>
  <c r="AD39" i="1"/>
  <c r="AD41" i="1"/>
  <c r="AD8" i="1"/>
  <c r="AD14" i="1"/>
  <c r="AD16" i="1"/>
  <c r="AD18" i="1"/>
  <c r="AD20" i="1"/>
  <c r="AD22" i="1"/>
  <c r="AD24" i="1"/>
  <c r="AD26" i="1"/>
  <c r="AD28" i="1"/>
  <c r="AD32" i="1"/>
  <c r="AD36" i="1"/>
  <c r="AD40" i="1"/>
  <c r="AD44" i="1"/>
  <c r="AD46" i="1"/>
  <c r="AD48" i="1"/>
  <c r="AD50" i="1"/>
  <c r="AD52" i="1"/>
  <c r="AD54" i="1"/>
  <c r="AD56" i="1"/>
  <c r="AD58" i="1"/>
  <c r="AD60" i="1"/>
  <c r="AD62" i="1"/>
  <c r="AD64" i="1"/>
  <c r="AD66" i="1"/>
  <c r="AD68" i="1"/>
  <c r="AD70" i="1"/>
  <c r="AD72" i="1"/>
  <c r="AD74" i="1"/>
  <c r="AD76" i="1"/>
  <c r="AD78" i="1"/>
  <c r="AD80" i="1"/>
  <c r="AD82" i="1"/>
  <c r="AD84" i="1"/>
  <c r="AD86" i="1"/>
  <c r="AD88" i="1"/>
  <c r="AD90" i="1"/>
  <c r="AD92" i="1"/>
  <c r="AD94" i="1"/>
  <c r="AD96" i="1"/>
  <c r="AD98" i="1"/>
  <c r="Z6" i="1"/>
  <c r="Z12" i="1"/>
  <c r="Z30" i="1"/>
  <c r="Z31" i="1"/>
  <c r="Z33" i="1"/>
  <c r="Z35" i="1"/>
  <c r="Z37" i="1"/>
  <c r="Z39" i="1"/>
  <c r="Z41" i="1"/>
  <c r="Z10" i="1"/>
  <c r="Z32" i="1"/>
  <c r="Z36" i="1"/>
  <c r="Z40" i="1"/>
  <c r="Z44" i="1"/>
  <c r="Z46" i="1"/>
  <c r="Z48" i="1"/>
  <c r="Z50" i="1"/>
  <c r="Z52" i="1"/>
  <c r="Z54" i="1"/>
  <c r="Z56" i="1"/>
  <c r="Z58" i="1"/>
  <c r="Z60" i="1"/>
  <c r="Z62" i="1"/>
  <c r="Z64" i="1"/>
  <c r="Z66" i="1"/>
  <c r="Z68" i="1"/>
  <c r="Z70" i="1"/>
  <c r="Z72" i="1"/>
  <c r="Z74" i="1"/>
  <c r="Z76" i="1"/>
  <c r="Z78" i="1"/>
  <c r="Z80" i="1"/>
  <c r="Z82" i="1"/>
  <c r="Z84" i="1"/>
  <c r="Z86" i="1"/>
  <c r="Z88" i="1"/>
  <c r="Z90" i="1"/>
  <c r="Z92" i="1"/>
  <c r="Z94" i="1"/>
  <c r="Z96" i="1"/>
  <c r="Z98" i="1"/>
  <c r="V4" i="1"/>
  <c r="V6" i="1"/>
  <c r="V12" i="1"/>
  <c r="V15" i="1"/>
  <c r="V17" i="1"/>
  <c r="V19" i="1"/>
  <c r="V21" i="1"/>
  <c r="V23" i="1"/>
  <c r="V25" i="1"/>
  <c r="V27" i="1"/>
  <c r="V29" i="1"/>
  <c r="V30" i="1"/>
  <c r="V31" i="1"/>
  <c r="V33" i="1"/>
  <c r="V35" i="1"/>
  <c r="V37" i="1"/>
  <c r="V39" i="1"/>
  <c r="V41" i="1"/>
  <c r="V43" i="1"/>
  <c r="V8" i="1"/>
  <c r="V14" i="1"/>
  <c r="V16" i="1"/>
  <c r="V18" i="1"/>
  <c r="V20" i="1"/>
  <c r="V22" i="1"/>
  <c r="V24" i="1"/>
  <c r="V26" i="1"/>
  <c r="V28" i="1"/>
  <c r="V32" i="1"/>
  <c r="V36" i="1"/>
  <c r="V40" i="1"/>
  <c r="V44" i="1"/>
  <c r="V46" i="1"/>
  <c r="V48" i="1"/>
  <c r="V50" i="1"/>
  <c r="V52" i="1"/>
  <c r="V54" i="1"/>
  <c r="V56" i="1"/>
  <c r="V58" i="1"/>
  <c r="V60" i="1"/>
  <c r="V62" i="1"/>
  <c r="V64" i="1"/>
  <c r="V66" i="1"/>
  <c r="V68" i="1"/>
  <c r="V70" i="1"/>
  <c r="V72" i="1"/>
  <c r="V74" i="1"/>
  <c r="V76" i="1"/>
  <c r="V78" i="1"/>
  <c r="V80" i="1"/>
  <c r="V82" i="1"/>
  <c r="V84" i="1"/>
  <c r="V86" i="1"/>
  <c r="V88" i="1"/>
  <c r="V90" i="1"/>
  <c r="V92" i="1"/>
  <c r="V94" i="1"/>
  <c r="V96" i="1"/>
  <c r="V98" i="1"/>
  <c r="AM7" i="1"/>
  <c r="AM11" i="1"/>
  <c r="AM30" i="1"/>
  <c r="AM32" i="1"/>
  <c r="AM34" i="1"/>
  <c r="AM36" i="1"/>
  <c r="AM38" i="1"/>
  <c r="AM40" i="1"/>
  <c r="AM42" i="1"/>
  <c r="AM5" i="1"/>
  <c r="AM13" i="1"/>
  <c r="AM15" i="1"/>
  <c r="AM17" i="1"/>
  <c r="AM19" i="1"/>
  <c r="AM21" i="1"/>
  <c r="AM23" i="1"/>
  <c r="AM25" i="1"/>
  <c r="AM27" i="1"/>
  <c r="AM29" i="1"/>
  <c r="AM33" i="1"/>
  <c r="AM37" i="1"/>
  <c r="AM41" i="1"/>
  <c r="AM43" i="1"/>
  <c r="AM45" i="1"/>
  <c r="AM47" i="1"/>
  <c r="AM49" i="1"/>
  <c r="AM51" i="1"/>
  <c r="AM53" i="1"/>
  <c r="AM55" i="1"/>
  <c r="AM57" i="1"/>
  <c r="AM59" i="1"/>
  <c r="AM61" i="1"/>
  <c r="AM63" i="1"/>
  <c r="AM65" i="1"/>
  <c r="AM67" i="1"/>
  <c r="AM69" i="1"/>
  <c r="AM71" i="1"/>
  <c r="AM73" i="1"/>
  <c r="AM75" i="1"/>
  <c r="AM77" i="1"/>
  <c r="AM79" i="1"/>
  <c r="AM81" i="1"/>
  <c r="AM83" i="1"/>
  <c r="AM85" i="1"/>
  <c r="AM87" i="1"/>
  <c r="AM89" i="1"/>
  <c r="AM91" i="1"/>
  <c r="AM93" i="1"/>
  <c r="AM95" i="1"/>
  <c r="AM97" i="1"/>
  <c r="AL204" i="1"/>
  <c r="AH204" i="1"/>
  <c r="AD204" i="1"/>
  <c r="Z204" i="1"/>
  <c r="AL202" i="1"/>
  <c r="AH202" i="1"/>
  <c r="AD202" i="1"/>
  <c r="Z202" i="1"/>
  <c r="AL200" i="1"/>
  <c r="AH200" i="1"/>
  <c r="AD200" i="1"/>
  <c r="Z200" i="1"/>
  <c r="AL198" i="1"/>
  <c r="AH198" i="1"/>
  <c r="AD198" i="1"/>
  <c r="Z198" i="1"/>
  <c r="AL196" i="1"/>
  <c r="AH196" i="1"/>
  <c r="AD196" i="1"/>
  <c r="Z196" i="1"/>
  <c r="AL194" i="1"/>
  <c r="AH194" i="1"/>
  <c r="AD194" i="1"/>
  <c r="Z194" i="1"/>
  <c r="AL192" i="1"/>
  <c r="AH192" i="1"/>
  <c r="AD192" i="1"/>
  <c r="Z192" i="1"/>
  <c r="AL190" i="1"/>
  <c r="AH190" i="1"/>
  <c r="AD190" i="1"/>
  <c r="Z190" i="1"/>
  <c r="AL188" i="1"/>
  <c r="AH188" i="1"/>
  <c r="AD188" i="1"/>
  <c r="Z188" i="1"/>
  <c r="AL186" i="1"/>
  <c r="AH186" i="1"/>
  <c r="AD186" i="1"/>
  <c r="Z186" i="1"/>
  <c r="AL184" i="1"/>
  <c r="AH184" i="1"/>
  <c r="AD184" i="1"/>
  <c r="Z184" i="1"/>
  <c r="AL182" i="1"/>
  <c r="AH182" i="1"/>
  <c r="AD182" i="1"/>
  <c r="Z182" i="1"/>
  <c r="AL180" i="1"/>
  <c r="AH180" i="1"/>
  <c r="AD180" i="1"/>
  <c r="Z180" i="1"/>
  <c r="AL178" i="1"/>
  <c r="AH178" i="1"/>
  <c r="AD178" i="1"/>
  <c r="Z178" i="1"/>
  <c r="AL176" i="1"/>
  <c r="AH176" i="1"/>
  <c r="AD176" i="1"/>
  <c r="Z176" i="1"/>
  <c r="AL174" i="1"/>
  <c r="AH174" i="1"/>
  <c r="AD174" i="1"/>
  <c r="Z174" i="1"/>
  <c r="AL172" i="1"/>
  <c r="AH172" i="1"/>
  <c r="AD172" i="1"/>
  <c r="Z172" i="1"/>
  <c r="AL170" i="1"/>
  <c r="AH170" i="1"/>
  <c r="AD170" i="1"/>
  <c r="Z170" i="1"/>
  <c r="V170" i="1"/>
  <c r="AL168" i="1"/>
  <c r="AH168" i="1"/>
  <c r="AD168" i="1"/>
  <c r="Z168" i="1"/>
  <c r="V168" i="1"/>
  <c r="AL166" i="1"/>
  <c r="AH166" i="1"/>
  <c r="AD166" i="1"/>
  <c r="Z166" i="1"/>
  <c r="V166" i="1"/>
  <c r="AL164" i="1"/>
  <c r="AH164" i="1"/>
  <c r="AD164" i="1"/>
  <c r="Z164" i="1"/>
  <c r="V164" i="1"/>
  <c r="AL162" i="1"/>
  <c r="AH162" i="1"/>
  <c r="AD162" i="1"/>
  <c r="Z162" i="1"/>
  <c r="V162" i="1"/>
  <c r="AL160" i="1"/>
  <c r="AH160" i="1"/>
  <c r="AD160" i="1"/>
  <c r="Z160" i="1"/>
  <c r="V160" i="1"/>
  <c r="AL158" i="1"/>
  <c r="AH158" i="1"/>
  <c r="AD158" i="1"/>
  <c r="Z158" i="1"/>
  <c r="V158" i="1"/>
  <c r="AL156" i="1"/>
  <c r="AH156" i="1"/>
  <c r="AD156" i="1"/>
  <c r="Z156" i="1"/>
  <c r="V156" i="1"/>
  <c r="AL154" i="1"/>
  <c r="AH154" i="1"/>
  <c r="AD154" i="1"/>
  <c r="Z154" i="1"/>
  <c r="V154" i="1"/>
  <c r="AL152" i="1"/>
  <c r="AH152" i="1"/>
  <c r="AD152" i="1"/>
  <c r="Z152" i="1"/>
  <c r="V152" i="1"/>
  <c r="AL150" i="1"/>
  <c r="AH150" i="1"/>
  <c r="AD150" i="1"/>
  <c r="Z150" i="1"/>
  <c r="V150" i="1"/>
  <c r="AL148" i="1"/>
  <c r="AH148" i="1"/>
  <c r="AD148" i="1"/>
  <c r="Z148" i="1"/>
  <c r="V148" i="1"/>
  <c r="AL146" i="1"/>
  <c r="AH146" i="1"/>
  <c r="AD146" i="1"/>
  <c r="Z146" i="1"/>
  <c r="V146" i="1"/>
  <c r="AL144" i="1"/>
  <c r="AH144" i="1"/>
  <c r="AD144" i="1"/>
  <c r="Z144" i="1"/>
  <c r="V144" i="1"/>
  <c r="AL142" i="1"/>
  <c r="AH142" i="1"/>
  <c r="AD142" i="1"/>
  <c r="Z142" i="1"/>
  <c r="V142" i="1"/>
  <c r="AL140" i="1"/>
  <c r="AH140" i="1"/>
  <c r="AD140" i="1"/>
  <c r="Z140" i="1"/>
  <c r="V140" i="1"/>
  <c r="AL138" i="1"/>
  <c r="AH138" i="1"/>
  <c r="AD138" i="1"/>
  <c r="Z138" i="1"/>
  <c r="V138" i="1"/>
  <c r="AL136" i="1"/>
  <c r="AH136" i="1"/>
  <c r="AD136" i="1"/>
  <c r="Z136" i="1"/>
  <c r="V136" i="1"/>
  <c r="AL134" i="1"/>
  <c r="AH134" i="1"/>
  <c r="AD134" i="1"/>
  <c r="Z134" i="1"/>
  <c r="V134" i="1"/>
  <c r="AL132" i="1"/>
  <c r="AH132" i="1"/>
  <c r="AD132" i="1"/>
  <c r="Z132" i="1"/>
  <c r="V132" i="1"/>
  <c r="AL130" i="1"/>
  <c r="AH130" i="1"/>
  <c r="AD130" i="1"/>
  <c r="Z130" i="1"/>
  <c r="V130" i="1"/>
  <c r="AL128" i="1"/>
  <c r="AH128" i="1"/>
  <c r="AD128" i="1"/>
  <c r="Z128" i="1"/>
  <c r="V128" i="1"/>
  <c r="AL126" i="1"/>
  <c r="AH126" i="1"/>
  <c r="AD126" i="1"/>
  <c r="Z126" i="1"/>
  <c r="V126" i="1"/>
  <c r="AL124" i="1"/>
  <c r="AH124" i="1"/>
  <c r="AD124" i="1"/>
  <c r="Z124" i="1"/>
  <c r="V124" i="1"/>
  <c r="AL122" i="1"/>
  <c r="AH122" i="1"/>
  <c r="AD122" i="1"/>
  <c r="Z122" i="1"/>
  <c r="V122" i="1"/>
  <c r="AL120" i="1"/>
  <c r="AH120" i="1"/>
  <c r="AD120" i="1"/>
  <c r="Z120" i="1"/>
  <c r="V120" i="1"/>
  <c r="AL118" i="1"/>
  <c r="AH118" i="1"/>
  <c r="AD118" i="1"/>
  <c r="Z118" i="1"/>
  <c r="V118" i="1"/>
  <c r="AL116" i="1"/>
  <c r="AH116" i="1"/>
  <c r="AD116" i="1"/>
  <c r="Z116" i="1"/>
  <c r="V116" i="1"/>
  <c r="AL114" i="1"/>
  <c r="AH114" i="1"/>
  <c r="AD114" i="1"/>
  <c r="Z114" i="1"/>
  <c r="V114" i="1"/>
  <c r="AL112" i="1"/>
  <c r="AH112" i="1"/>
  <c r="AD112" i="1"/>
  <c r="Z112" i="1"/>
  <c r="V112" i="1"/>
  <c r="AL110" i="1"/>
  <c r="AH110" i="1"/>
  <c r="AD110" i="1"/>
  <c r="Z110" i="1"/>
  <c r="V110" i="1"/>
  <c r="AL108" i="1"/>
  <c r="AH108" i="1"/>
  <c r="AD108" i="1"/>
  <c r="Z108" i="1"/>
  <c r="V108" i="1"/>
  <c r="AL106" i="1"/>
  <c r="AH106" i="1"/>
  <c r="AD106" i="1"/>
  <c r="Z106" i="1"/>
  <c r="V106" i="1"/>
  <c r="AM105" i="1"/>
  <c r="AL104" i="1"/>
  <c r="AH104" i="1"/>
  <c r="AD104" i="1"/>
  <c r="Z104" i="1"/>
  <c r="V104" i="1"/>
  <c r="AM103" i="1"/>
  <c r="AL102" i="1"/>
  <c r="AH102" i="1"/>
  <c r="AD102" i="1"/>
  <c r="Z102" i="1"/>
  <c r="V102" i="1"/>
  <c r="AM101" i="1"/>
  <c r="AL100" i="1"/>
  <c r="AH100" i="1"/>
  <c r="AD100" i="1"/>
  <c r="Z100" i="1"/>
  <c r="V100" i="1"/>
  <c r="AM99" i="1"/>
  <c r="AL98" i="1"/>
  <c r="AL97" i="1"/>
  <c r="AH95" i="1"/>
  <c r="AD95" i="1"/>
  <c r="Z95" i="1"/>
  <c r="V95" i="1"/>
  <c r="AM94" i="1"/>
  <c r="AL93" i="1"/>
  <c r="AH91" i="1"/>
  <c r="AD91" i="1"/>
  <c r="Z91" i="1"/>
  <c r="V91" i="1"/>
  <c r="AM90" i="1"/>
  <c r="AL89" i="1"/>
  <c r="AH87" i="1"/>
  <c r="AD87" i="1"/>
  <c r="Z87" i="1"/>
  <c r="V87" i="1"/>
  <c r="AM86" i="1"/>
  <c r="AL85" i="1"/>
  <c r="AH83" i="1"/>
  <c r="AD83" i="1"/>
  <c r="Z83" i="1"/>
  <c r="V83" i="1"/>
  <c r="AM82" i="1"/>
  <c r="AL81" i="1"/>
  <c r="AH79" i="1"/>
  <c r="AD79" i="1"/>
  <c r="Z79" i="1"/>
  <c r="V79" i="1"/>
  <c r="AM78" i="1"/>
  <c r="AL77" i="1"/>
  <c r="AH75" i="1"/>
  <c r="AD75" i="1"/>
  <c r="Z75" i="1"/>
  <c r="V75" i="1"/>
  <c r="AM74" i="1"/>
  <c r="AL73" i="1"/>
  <c r="AH71" i="1"/>
  <c r="AD71" i="1"/>
  <c r="Z71" i="1"/>
  <c r="V71" i="1"/>
  <c r="AM70" i="1"/>
  <c r="AL69" i="1"/>
  <c r="AH67" i="1"/>
  <c r="AD67" i="1"/>
  <c r="Z67" i="1"/>
  <c r="V67" i="1"/>
  <c r="AM66" i="1"/>
  <c r="AL65" i="1"/>
  <c r="AH63" i="1"/>
  <c r="AD63" i="1"/>
  <c r="Z63" i="1"/>
  <c r="V63" i="1"/>
  <c r="AM62" i="1"/>
  <c r="AL61" i="1"/>
  <c r="AH59" i="1"/>
  <c r="AD59" i="1"/>
  <c r="Z59" i="1"/>
  <c r="V59" i="1"/>
  <c r="AM58" i="1"/>
  <c r="AL57" i="1"/>
  <c r="AH55" i="1"/>
  <c r="AD55" i="1"/>
  <c r="Z55" i="1"/>
  <c r="V55" i="1"/>
  <c r="AM54" i="1"/>
  <c r="AL53" i="1"/>
  <c r="AH51" i="1"/>
  <c r="AD51" i="1"/>
  <c r="Z51" i="1"/>
  <c r="V51" i="1"/>
  <c r="AM50" i="1"/>
  <c r="AL49" i="1"/>
  <c r="AH47" i="1"/>
  <c r="AD47" i="1"/>
  <c r="Z47" i="1"/>
  <c r="V47" i="1"/>
  <c r="AM46" i="1"/>
  <c r="AL45" i="1"/>
  <c r="AH43" i="1"/>
  <c r="AD43" i="1"/>
  <c r="Z43" i="1"/>
  <c r="AL42" i="1"/>
  <c r="AH42" i="1"/>
  <c r="AD42" i="1"/>
  <c r="Z42" i="1"/>
  <c r="V42" i="1"/>
  <c r="AM39" i="1"/>
  <c r="AL34" i="1"/>
  <c r="AH34" i="1"/>
  <c r="AD34" i="1"/>
  <c r="Z34" i="1"/>
  <c r="V34" i="1"/>
  <c r="AM31" i="1"/>
  <c r="Z28" i="1"/>
  <c r="Z26" i="1"/>
  <c r="Z24" i="1"/>
  <c r="Z22" i="1"/>
  <c r="Z20" i="1"/>
  <c r="Z18" i="1"/>
  <c r="Z16" i="1"/>
  <c r="Z14" i="1"/>
  <c r="AD10" i="1"/>
  <c r="AH8" i="1"/>
  <c r="AK5" i="1"/>
  <c r="AK9" i="1"/>
  <c r="AK13" i="1"/>
  <c r="AK15" i="1"/>
  <c r="AK17" i="1"/>
  <c r="AK19" i="1"/>
  <c r="AK21" i="1"/>
  <c r="AK23" i="1"/>
  <c r="AK25" i="1"/>
  <c r="AK27" i="1"/>
  <c r="AK29" i="1"/>
  <c r="AK30" i="1"/>
  <c r="AK32" i="1"/>
  <c r="AK34" i="1"/>
  <c r="AK36" i="1"/>
  <c r="AK38" i="1"/>
  <c r="AK40" i="1"/>
  <c r="AK42" i="1"/>
  <c r="AI7" i="1"/>
  <c r="AI11" i="1"/>
  <c r="AI32" i="1"/>
  <c r="AI34" i="1"/>
  <c r="AI36" i="1"/>
  <c r="AI38" i="1"/>
  <c r="AI40" i="1"/>
  <c r="AI42" i="1"/>
  <c r="AG5" i="1"/>
  <c r="AG9" i="1"/>
  <c r="AG13" i="1"/>
  <c r="AG15" i="1"/>
  <c r="AG17" i="1"/>
  <c r="AG19" i="1"/>
  <c r="AG21" i="1"/>
  <c r="AG23" i="1"/>
  <c r="AG25" i="1"/>
  <c r="AG27" i="1"/>
  <c r="AG29" i="1"/>
  <c r="AG32" i="1"/>
  <c r="AG34" i="1"/>
  <c r="AG36" i="1"/>
  <c r="AG38" i="1"/>
  <c r="AG40" i="1"/>
  <c r="AG42" i="1"/>
  <c r="AE7" i="1"/>
  <c r="AE11" i="1"/>
  <c r="AE32" i="1"/>
  <c r="AE34" i="1"/>
  <c r="AE36" i="1"/>
  <c r="AE38" i="1"/>
  <c r="AE40" i="1"/>
  <c r="AE42" i="1"/>
  <c r="AC5" i="1"/>
  <c r="AC9" i="1"/>
  <c r="AC13" i="1"/>
  <c r="AC15" i="1"/>
  <c r="AC17" i="1"/>
  <c r="AC19" i="1"/>
  <c r="AC21" i="1"/>
  <c r="AC23" i="1"/>
  <c r="AC25" i="1"/>
  <c r="AC27" i="1"/>
  <c r="AC29" i="1"/>
  <c r="AC32" i="1"/>
  <c r="AC34" i="1"/>
  <c r="AC36" i="1"/>
  <c r="AC38" i="1"/>
  <c r="AC40" i="1"/>
  <c r="AC42" i="1"/>
  <c r="AA7" i="1"/>
  <c r="AA11" i="1"/>
  <c r="AA32" i="1"/>
  <c r="AA34" i="1"/>
  <c r="AA36" i="1"/>
  <c r="AA38" i="1"/>
  <c r="AA40" i="1"/>
  <c r="AA42" i="1"/>
  <c r="Y5" i="1"/>
  <c r="Y9" i="1"/>
  <c r="Y13" i="1"/>
  <c r="Y15" i="1"/>
  <c r="Y17" i="1"/>
  <c r="Y19" i="1"/>
  <c r="Y21" i="1"/>
  <c r="Y23" i="1"/>
  <c r="Y25" i="1"/>
  <c r="Y27" i="1"/>
  <c r="Y29" i="1"/>
  <c r="Y32" i="1"/>
  <c r="Y34" i="1"/>
  <c r="Y36" i="1"/>
  <c r="Y38" i="1"/>
  <c r="Y40" i="1"/>
  <c r="Y42" i="1"/>
  <c r="W7" i="1"/>
  <c r="W11" i="1"/>
  <c r="W32" i="1"/>
  <c r="W34" i="1"/>
  <c r="W36" i="1"/>
  <c r="W38" i="1"/>
  <c r="W40" i="1"/>
  <c r="W42" i="1"/>
  <c r="AN8" i="1"/>
  <c r="AN10" i="1"/>
  <c r="AN14" i="1"/>
  <c r="AN16" i="1"/>
  <c r="AN18" i="1"/>
  <c r="AN20" i="1"/>
  <c r="AN22" i="1"/>
  <c r="AN24" i="1"/>
  <c r="AN26" i="1"/>
  <c r="AN28" i="1"/>
  <c r="AN31" i="1"/>
  <c r="AN33" i="1"/>
  <c r="AN35" i="1"/>
  <c r="AN37" i="1"/>
  <c r="AN39" i="1"/>
  <c r="AN41" i="1"/>
  <c r="AJ8" i="1"/>
  <c r="AJ10" i="1"/>
  <c r="AJ14" i="1"/>
  <c r="AJ16" i="1"/>
  <c r="AJ18" i="1"/>
  <c r="AJ20" i="1"/>
  <c r="AJ22" i="1"/>
  <c r="AJ24" i="1"/>
  <c r="AJ26" i="1"/>
  <c r="AJ28" i="1"/>
  <c r="AJ31" i="1"/>
  <c r="AJ33" i="1"/>
  <c r="AJ35" i="1"/>
  <c r="AJ37" i="1"/>
  <c r="AJ39" i="1"/>
  <c r="AJ41" i="1"/>
  <c r="AF8" i="1"/>
  <c r="AF10" i="1"/>
  <c r="AF14" i="1"/>
  <c r="AF16" i="1"/>
  <c r="AF18" i="1"/>
  <c r="AF20" i="1"/>
  <c r="AF22" i="1"/>
  <c r="AF24" i="1"/>
  <c r="AF26" i="1"/>
  <c r="AF28" i="1"/>
  <c r="AF31" i="1"/>
  <c r="AF33" i="1"/>
  <c r="AF35" i="1"/>
  <c r="AF37" i="1"/>
  <c r="AF39" i="1"/>
  <c r="AF41" i="1"/>
  <c r="AB8" i="1"/>
  <c r="AB10" i="1"/>
  <c r="AB14" i="1"/>
  <c r="AB16" i="1"/>
  <c r="AB18" i="1"/>
  <c r="AB20" i="1"/>
  <c r="AB22" i="1"/>
  <c r="AB24" i="1"/>
  <c r="AB26" i="1"/>
  <c r="AB28" i="1"/>
  <c r="AB31" i="1"/>
  <c r="AB33" i="1"/>
  <c r="AB35" i="1"/>
  <c r="AB37" i="1"/>
  <c r="AB39" i="1"/>
  <c r="AB41" i="1"/>
  <c r="X8" i="1"/>
  <c r="X10" i="1"/>
  <c r="X14" i="1"/>
  <c r="X16" i="1"/>
  <c r="X18" i="1"/>
  <c r="X20" i="1"/>
  <c r="X22" i="1"/>
  <c r="X24" i="1"/>
  <c r="X26" i="1"/>
  <c r="X28" i="1"/>
  <c r="X31" i="1"/>
  <c r="X33" i="1"/>
  <c r="X35" i="1"/>
  <c r="X37" i="1"/>
  <c r="X39" i="1"/>
  <c r="X41" i="1"/>
  <c r="X43" i="1"/>
  <c r="AK97" i="1"/>
  <c r="AK95" i="1"/>
  <c r="AK93" i="1"/>
  <c r="AK91" i="1"/>
  <c r="AK89" i="1"/>
  <c r="AK87" i="1"/>
  <c r="AK85" i="1"/>
  <c r="AK83" i="1"/>
  <c r="AK81" i="1"/>
  <c r="AK79" i="1"/>
  <c r="AK77" i="1"/>
  <c r="AK75" i="1"/>
  <c r="AK73" i="1"/>
  <c r="AK71" i="1"/>
  <c r="AK69" i="1"/>
  <c r="AK67" i="1"/>
  <c r="AK65" i="1"/>
  <c r="AK63" i="1"/>
  <c r="AK61" i="1"/>
  <c r="AK59" i="1"/>
  <c r="AK57" i="1"/>
  <c r="AK55" i="1"/>
  <c r="AK53" i="1"/>
  <c r="AK51" i="1"/>
  <c r="AK49" i="1"/>
  <c r="AK47" i="1"/>
  <c r="AK45" i="1"/>
  <c r="AK43" i="1"/>
  <c r="AK39" i="1"/>
  <c r="AK35" i="1"/>
  <c r="AK31" i="1"/>
  <c r="AK11" i="1"/>
  <c r="P99" i="3"/>
  <c r="P97" i="3"/>
  <c r="P95" i="3"/>
  <c r="P93" i="3"/>
  <c r="P90" i="3"/>
  <c r="P88" i="3"/>
  <c r="P86" i="3"/>
  <c r="P84" i="3"/>
  <c r="P82" i="3"/>
  <c r="P80" i="3"/>
  <c r="P78" i="3"/>
  <c r="P76" i="3"/>
  <c r="P74" i="3"/>
  <c r="P72" i="3"/>
  <c r="P70" i="3"/>
  <c r="P68" i="3"/>
  <c r="P66" i="3"/>
  <c r="P64" i="3"/>
  <c r="P62" i="3"/>
  <c r="P60" i="3"/>
  <c r="P59" i="3"/>
  <c r="P57" i="3"/>
  <c r="P55" i="3"/>
  <c r="P53" i="3"/>
  <c r="P51" i="3"/>
  <c r="P49" i="3"/>
  <c r="P47" i="3"/>
  <c r="P45" i="3"/>
  <c r="P43" i="3"/>
  <c r="P41" i="3"/>
  <c r="P39" i="3"/>
  <c r="P37" i="3"/>
  <c r="P35" i="3"/>
  <c r="P33" i="3"/>
  <c r="P31" i="3"/>
  <c r="P29" i="3"/>
  <c r="P26" i="3"/>
  <c r="P24" i="3"/>
  <c r="P22" i="3"/>
  <c r="P20" i="3"/>
  <c r="P18" i="3"/>
  <c r="P16" i="3"/>
  <c r="P14" i="3"/>
  <c r="P12" i="3"/>
  <c r="P3" i="3"/>
  <c r="C7" i="5"/>
  <c r="E16" i="2"/>
  <c r="N3" i="3"/>
  <c r="C8" i="5"/>
  <c r="G14" i="2"/>
  <c r="AM4" i="1"/>
  <c r="AM6" i="1"/>
  <c r="AM8" i="1"/>
  <c r="AM10" i="1"/>
  <c r="AM12" i="1"/>
  <c r="AM14" i="1"/>
  <c r="AM16" i="1"/>
  <c r="AM18" i="1"/>
  <c r="AM20" i="1"/>
  <c r="AM22" i="1"/>
  <c r="AM24" i="1"/>
  <c r="AM26" i="1"/>
  <c r="AM28" i="1"/>
  <c r="AK4" i="1"/>
  <c r="AK6" i="1"/>
  <c r="AK8" i="1"/>
  <c r="AK10" i="1"/>
  <c r="AK12" i="1"/>
  <c r="AK14" i="1"/>
  <c r="AK16" i="1"/>
  <c r="AK18" i="1"/>
  <c r="AK20" i="1"/>
  <c r="AK22" i="1"/>
  <c r="AK24" i="1"/>
  <c r="AK26" i="1"/>
  <c r="AK28" i="1"/>
  <c r="AI4" i="1"/>
  <c r="AI6" i="1"/>
  <c r="AI8" i="1"/>
  <c r="AI10" i="1"/>
  <c r="AI12" i="1"/>
  <c r="AI14" i="1"/>
  <c r="AI16" i="1"/>
  <c r="AI18" i="1"/>
  <c r="AI20" i="1"/>
  <c r="AI22" i="1"/>
  <c r="AI24" i="1"/>
  <c r="AI26" i="1"/>
  <c r="AI28" i="1"/>
  <c r="AI30" i="1"/>
  <c r="AG4" i="1"/>
  <c r="AG6" i="1"/>
  <c r="AG8" i="1"/>
  <c r="AG10" i="1"/>
  <c r="AG12" i="1"/>
  <c r="AG14" i="1"/>
  <c r="AG16" i="1"/>
  <c r="AG18" i="1"/>
  <c r="AG20" i="1"/>
  <c r="AG22" i="1"/>
  <c r="AG24" i="1"/>
  <c r="AG26" i="1"/>
  <c r="AG28" i="1"/>
  <c r="AG30" i="1"/>
  <c r="AE4" i="1"/>
  <c r="AE6" i="1"/>
  <c r="AE8" i="1"/>
  <c r="AE10" i="1"/>
  <c r="AE12" i="1"/>
  <c r="AE14" i="1"/>
  <c r="AE16" i="1"/>
  <c r="AE18" i="1"/>
  <c r="AE20" i="1"/>
  <c r="AE22" i="1"/>
  <c r="AE24" i="1"/>
  <c r="AE26" i="1"/>
  <c r="AE28" i="1"/>
  <c r="AE30" i="1"/>
  <c r="AC4" i="1"/>
  <c r="AC6" i="1"/>
  <c r="AC8" i="1"/>
  <c r="AC10" i="1"/>
  <c r="AC12" i="1"/>
  <c r="AC14" i="1"/>
  <c r="AC16" i="1"/>
  <c r="AC18" i="1"/>
  <c r="AC20" i="1"/>
  <c r="AC22" i="1"/>
  <c r="AC24" i="1"/>
  <c r="AC26" i="1"/>
  <c r="AC28" i="1"/>
  <c r="AC30" i="1"/>
  <c r="AA4" i="1"/>
  <c r="AA6" i="1"/>
  <c r="AA8" i="1"/>
  <c r="AA10" i="1"/>
  <c r="AA12" i="1"/>
  <c r="AA14" i="1"/>
  <c r="AA16" i="1"/>
  <c r="AA18" i="1"/>
  <c r="AA20" i="1"/>
  <c r="AA22" i="1"/>
  <c r="AA24" i="1"/>
  <c r="AA26" i="1"/>
  <c r="AA28" i="1"/>
  <c r="AA30" i="1"/>
  <c r="Y4" i="1"/>
  <c r="Y6" i="1"/>
  <c r="Y8" i="1"/>
  <c r="Y10" i="1"/>
  <c r="Y12" i="1"/>
  <c r="Y14" i="1"/>
  <c r="Y16" i="1"/>
  <c r="Y18" i="1"/>
  <c r="Y20" i="1"/>
  <c r="Y22" i="1"/>
  <c r="Y24" i="1"/>
  <c r="Y26" i="1"/>
  <c r="Y28" i="1"/>
  <c r="Y30" i="1"/>
  <c r="W4" i="1"/>
  <c r="W6" i="1"/>
  <c r="W8" i="1"/>
  <c r="W10" i="1"/>
  <c r="W12" i="1"/>
  <c r="W14" i="1"/>
  <c r="W16" i="1"/>
  <c r="W18" i="1"/>
  <c r="W20" i="1"/>
  <c r="W22" i="1"/>
  <c r="W24" i="1"/>
  <c r="W26" i="1"/>
  <c r="W28" i="1"/>
  <c r="W30" i="1"/>
  <c r="AN4" i="1"/>
  <c r="AN5" i="1"/>
  <c r="AN7" i="1"/>
  <c r="AN9" i="1"/>
  <c r="AN11" i="1"/>
  <c r="AN13" i="1"/>
  <c r="AN15" i="1"/>
  <c r="AN17" i="1"/>
  <c r="AN19" i="1"/>
  <c r="AN21" i="1"/>
  <c r="AN23" i="1"/>
  <c r="AN25" i="1"/>
  <c r="AN27" i="1"/>
  <c r="AN29" i="1"/>
  <c r="AL4" i="1"/>
  <c r="AL5" i="1"/>
  <c r="AL7" i="1"/>
  <c r="AL9" i="1"/>
  <c r="AL11" i="1"/>
  <c r="AL13" i="1"/>
  <c r="AL15" i="1"/>
  <c r="AL17" i="1"/>
  <c r="AL19" i="1"/>
  <c r="AL21" i="1"/>
  <c r="AL23" i="1"/>
  <c r="AL25" i="1"/>
  <c r="AL27" i="1"/>
  <c r="AL29" i="1"/>
  <c r="AJ4" i="1"/>
  <c r="AJ5" i="1"/>
  <c r="AJ7" i="1"/>
  <c r="AJ9" i="1"/>
  <c r="AJ11" i="1"/>
  <c r="AJ13" i="1"/>
  <c r="AJ15" i="1"/>
  <c r="AJ17" i="1"/>
  <c r="AJ19" i="1"/>
  <c r="AJ21" i="1"/>
  <c r="AJ23" i="1"/>
  <c r="AJ25" i="1"/>
  <c r="AJ27" i="1"/>
  <c r="AJ29" i="1"/>
  <c r="AH4" i="1"/>
  <c r="AH5" i="1"/>
  <c r="AH7" i="1"/>
  <c r="AH9" i="1"/>
  <c r="AH11" i="1"/>
  <c r="AH13" i="1"/>
  <c r="AH15" i="1"/>
  <c r="AH17" i="1"/>
  <c r="AH19" i="1"/>
  <c r="AH21" i="1"/>
  <c r="AH23" i="1"/>
  <c r="AH25" i="1"/>
  <c r="AH27" i="1"/>
  <c r="AH29" i="1"/>
  <c r="AF4" i="1"/>
  <c r="AF5" i="1"/>
  <c r="AF7" i="1"/>
  <c r="AF9" i="1"/>
  <c r="AF11" i="1"/>
  <c r="AF13" i="1"/>
  <c r="AF15" i="1"/>
  <c r="AF17" i="1"/>
  <c r="AF19" i="1"/>
  <c r="AF21" i="1"/>
  <c r="AF23" i="1"/>
  <c r="AF25" i="1"/>
  <c r="AF27" i="1"/>
  <c r="AF29" i="1"/>
  <c r="AD4" i="1"/>
  <c r="AD5" i="1"/>
  <c r="AD7" i="1"/>
  <c r="AD9" i="1"/>
  <c r="AD11" i="1"/>
  <c r="AD13" i="1"/>
  <c r="AD15" i="1"/>
  <c r="AD17" i="1"/>
  <c r="AD19" i="1"/>
  <c r="AD21" i="1"/>
  <c r="AD23" i="1"/>
  <c r="AD25" i="1"/>
  <c r="AD27" i="1"/>
  <c r="AD29" i="1"/>
  <c r="AB4" i="1"/>
  <c r="AB5" i="1"/>
  <c r="AB7" i="1"/>
  <c r="AB9" i="1"/>
  <c r="AB11" i="1"/>
  <c r="AB13" i="1"/>
  <c r="AB15" i="1"/>
  <c r="AB17" i="1"/>
  <c r="AB19" i="1"/>
  <c r="AB21" i="1"/>
  <c r="AB23" i="1"/>
  <c r="AB25" i="1"/>
  <c r="AB27" i="1"/>
  <c r="AB29" i="1"/>
  <c r="Z4" i="1"/>
  <c r="Z5" i="1"/>
  <c r="Z7" i="1"/>
  <c r="Z9" i="1"/>
  <c r="Z11" i="1"/>
  <c r="Z13" i="1"/>
  <c r="Z15" i="1"/>
  <c r="Z17" i="1"/>
  <c r="Z19" i="1"/>
  <c r="Z21" i="1"/>
  <c r="Z23" i="1"/>
  <c r="Z25" i="1"/>
  <c r="Z27" i="1"/>
  <c r="Z29" i="1"/>
  <c r="X4" i="1"/>
  <c r="X5" i="1"/>
  <c r="X7" i="1"/>
  <c r="X9" i="1"/>
  <c r="X11" i="1"/>
  <c r="X13" i="1"/>
  <c r="X15" i="1"/>
  <c r="X17" i="1"/>
  <c r="X19" i="1"/>
  <c r="X21" i="1"/>
  <c r="X23" i="1"/>
  <c r="X25" i="1"/>
  <c r="X27" i="1"/>
  <c r="X29" i="1"/>
  <c r="V13" i="1"/>
  <c r="V11" i="1"/>
  <c r="V9" i="1"/>
  <c r="V7" i="1"/>
  <c r="V5" i="1"/>
  <c r="E10" i="5" l="1"/>
  <c r="H10" i="5"/>
  <c r="G10" i="5"/>
  <c r="D10" i="5"/>
  <c r="F10" i="5"/>
  <c r="E15" i="2"/>
  <c r="D6" i="2" s="1"/>
  <c r="D7" i="2" s="1"/>
  <c r="D8" i="2" s="1"/>
  <c r="C6" i="5"/>
  <c r="D6" i="5"/>
  <c r="B53" i="3"/>
  <c r="C53" i="3" s="1" a="1"/>
  <c r="C53" i="3" s="1"/>
  <c r="D53" i="3" s="1"/>
  <c r="B101" i="3"/>
  <c r="C101" i="3" s="1" a="1"/>
  <c r="C101" i="3" s="1"/>
  <c r="D101" i="3" s="1"/>
  <c r="B132" i="3"/>
  <c r="C132" i="3" s="1" a="1"/>
  <c r="C132" i="3" s="1"/>
  <c r="D132" i="3" s="1"/>
  <c r="B90" i="3"/>
  <c r="C90" i="3" s="1" a="1"/>
  <c r="C90" i="3" s="1"/>
  <c r="D90" i="3" s="1"/>
  <c r="B10" i="3"/>
  <c r="C10" i="3" s="1" a="1"/>
  <c r="C10" i="3" s="1"/>
  <c r="D10" i="3" s="1"/>
  <c r="B49" i="3"/>
  <c r="C49" i="3" s="1" a="1"/>
  <c r="C49" i="3" s="1"/>
  <c r="D49" i="3" s="1"/>
  <c r="B99" i="3"/>
  <c r="C99" i="3" s="1" a="1"/>
  <c r="C99" i="3" s="1"/>
  <c r="D99" i="3" s="1"/>
  <c r="B131" i="3"/>
  <c r="C131" i="3" s="1" a="1"/>
  <c r="C131" i="3" s="1"/>
  <c r="D131" i="3" s="1"/>
  <c r="B50" i="3"/>
  <c r="C50" i="3" s="1" a="1"/>
  <c r="C50" i="3" s="1"/>
  <c r="D50" i="3" s="1"/>
  <c r="B17" i="3"/>
  <c r="C17" i="3" s="1" a="1"/>
  <c r="C17" i="3" s="1"/>
  <c r="D17" i="3" s="1"/>
  <c r="B65" i="3"/>
  <c r="C65" i="3" s="1" a="1"/>
  <c r="C65" i="3" s="1"/>
  <c r="D65" i="3" s="1"/>
  <c r="B107" i="3"/>
  <c r="C107" i="3" s="1" a="1"/>
  <c r="C107" i="3" s="1"/>
  <c r="D107" i="3" s="1"/>
  <c r="B140" i="3"/>
  <c r="C140" i="3" s="1" a="1"/>
  <c r="C140" i="3" s="1"/>
  <c r="D140" i="3" s="1"/>
  <c r="B155" i="3"/>
  <c r="C155" i="3" s="1" a="1"/>
  <c r="C155" i="3" s="1"/>
  <c r="D155" i="3" s="1"/>
  <c r="B37" i="3"/>
  <c r="C37" i="3" s="1" a="1"/>
  <c r="C37" i="3" s="1"/>
  <c r="D37" i="3" s="1"/>
  <c r="B85" i="3"/>
  <c r="C85" i="3" s="1" a="1"/>
  <c r="C85" i="3" s="1"/>
  <c r="D85" i="3" s="1"/>
  <c r="B125" i="3"/>
  <c r="C125" i="3" s="1" a="1"/>
  <c r="C125" i="3" s="1"/>
  <c r="D125" i="3" s="1"/>
  <c r="B22" i="3"/>
  <c r="C22" i="3" s="1" a="1"/>
  <c r="C22" i="3" s="1"/>
  <c r="D22" i="3" s="1"/>
  <c r="B19" i="3"/>
  <c r="C19" i="3" s="1" a="1"/>
  <c r="C19" i="3" s="1"/>
  <c r="D19" i="3" s="1"/>
  <c r="B67" i="3"/>
  <c r="C67" i="3" s="1" a="1"/>
  <c r="C67" i="3" s="1"/>
  <c r="D67" i="3" s="1"/>
  <c r="B108" i="3"/>
  <c r="C108" i="3" s="1" a="1"/>
  <c r="C108" i="3" s="1"/>
  <c r="D108" i="3" s="1"/>
  <c r="B144" i="3"/>
  <c r="C144" i="3" s="1" a="1"/>
  <c r="C144" i="3" s="1"/>
  <c r="D144" i="3" s="1"/>
  <c r="B21" i="3"/>
  <c r="C21" i="3" s="1" a="1"/>
  <c r="C21" i="3" s="1"/>
  <c r="D21" i="3" s="1"/>
  <c r="B69" i="3"/>
  <c r="C69" i="3" s="1" a="1"/>
  <c r="C69" i="3" s="1"/>
  <c r="D69" i="3" s="1"/>
  <c r="B109" i="3"/>
  <c r="C109" i="3" s="1" a="1"/>
  <c r="C109" i="3" s="1"/>
  <c r="D109" i="3" s="1"/>
  <c r="B174" i="3"/>
  <c r="C174" i="3" s="1" a="1"/>
  <c r="C174" i="3" s="1"/>
  <c r="D174" i="3" s="1"/>
  <c r="B33" i="3"/>
  <c r="C33" i="3" s="1" a="1"/>
  <c r="C33" i="3" s="1"/>
  <c r="D33" i="3" s="1"/>
  <c r="B81" i="3"/>
  <c r="C81" i="3" s="1" a="1"/>
  <c r="C81" i="3" s="1"/>
  <c r="D81" i="3" s="1"/>
  <c r="B116" i="3"/>
  <c r="C116" i="3" s="1" a="1"/>
  <c r="C116" i="3" s="1"/>
  <c r="D116" i="3" s="1"/>
  <c r="E14" i="2"/>
  <c r="F14" i="2" s="1"/>
  <c r="H14" i="2" s="1"/>
  <c r="B176" i="3"/>
  <c r="C176" i="3" s="1" a="1"/>
  <c r="C176" i="3" s="1"/>
  <c r="D176" i="3" s="1"/>
  <c r="B35" i="3"/>
  <c r="C35" i="3" s="1" a="1"/>
  <c r="C35" i="3" s="1"/>
  <c r="D35" i="3" s="1"/>
  <c r="B83" i="3"/>
  <c r="C83" i="3" s="1" a="1"/>
  <c r="C83" i="3" s="1"/>
  <c r="D83" i="3" s="1"/>
  <c r="B123" i="3"/>
  <c r="C123" i="3" s="1" a="1"/>
  <c r="C123" i="3" s="1"/>
  <c r="D123" i="3" s="1"/>
  <c r="B18" i="3"/>
  <c r="C18" i="3" s="1" a="1"/>
  <c r="C18" i="3" s="1"/>
  <c r="D18" i="3" s="1"/>
  <c r="B141" i="3"/>
  <c r="C141" i="3" s="1" a="1"/>
  <c r="C141" i="3" s="1"/>
  <c r="D141" i="3" s="1"/>
  <c r="B115" i="3"/>
  <c r="C115" i="3" s="1" a="1"/>
  <c r="C115" i="3" s="1"/>
  <c r="D115" i="3" s="1"/>
  <c r="B86" i="3"/>
  <c r="C86" i="3" s="1" a="1"/>
  <c r="C86" i="3" s="1"/>
  <c r="D86" i="3" s="1"/>
  <c r="B12" i="3"/>
  <c r="C12" i="3" s="1" a="1"/>
  <c r="C12" i="3" s="1"/>
  <c r="D12" i="3" s="1"/>
  <c r="B190" i="3"/>
  <c r="C190" i="3" s="1" a="1"/>
  <c r="C190" i="3" s="1"/>
  <c r="D190" i="3" s="1"/>
  <c r="B187" i="3"/>
  <c r="C187" i="3" s="1" a="1"/>
  <c r="C187" i="3" s="1"/>
  <c r="D187" i="3" s="1"/>
  <c r="B124" i="3"/>
  <c r="C124" i="3" s="1" a="1"/>
  <c r="C124" i="3" s="1"/>
  <c r="D124" i="3" s="1"/>
  <c r="B54" i="3"/>
  <c r="C54" i="3" s="1" a="1"/>
  <c r="C54" i="3" s="1"/>
  <c r="D54" i="3" s="1"/>
  <c r="B156" i="3"/>
  <c r="C156" i="3" s="1" a="1"/>
  <c r="C156" i="3" s="1"/>
  <c r="D156" i="3" s="1"/>
  <c r="B192" i="3"/>
  <c r="C192" i="3" s="1" a="1"/>
  <c r="C192" i="3" s="1"/>
  <c r="D192" i="3" s="1"/>
  <c r="B16" i="3"/>
  <c r="C16" i="3" s="1" a="1"/>
  <c r="C16" i="3" s="1"/>
  <c r="D16" i="3" s="1"/>
  <c r="B44" i="3"/>
  <c r="C44" i="3" s="1" a="1"/>
  <c r="C44" i="3" s="1"/>
  <c r="D44" i="3" s="1"/>
  <c r="B201" i="3"/>
  <c r="C201" i="3" s="1" a="1"/>
  <c r="C201" i="3" s="1"/>
  <c r="D201" i="3" s="1"/>
  <c r="B58" i="3"/>
  <c r="C58" i="3" s="1" a="1"/>
  <c r="C58" i="3" s="1"/>
  <c r="D58" i="3" s="1"/>
  <c r="B158" i="3"/>
  <c r="C158" i="3" s="1" a="1"/>
  <c r="C158" i="3" s="1"/>
  <c r="D158" i="3" s="1"/>
  <c r="B24" i="3"/>
  <c r="C24" i="3" s="1" a="1"/>
  <c r="C24" i="3" s="1"/>
  <c r="D24" i="3" s="1"/>
  <c r="B82" i="3"/>
  <c r="C82" i="3" s="1" a="1"/>
  <c r="C82" i="3" s="1"/>
  <c r="D82" i="3" s="1"/>
  <c r="B160" i="3"/>
  <c r="C160" i="3" s="1" a="1"/>
  <c r="C160" i="3" s="1"/>
  <c r="D160" i="3" s="1"/>
  <c r="B72" i="3"/>
  <c r="C72" i="3" s="1" a="1"/>
  <c r="C72" i="3" s="1"/>
  <c r="D72" i="3" s="1"/>
  <c r="B28" i="3"/>
  <c r="C28" i="3" s="1" a="1"/>
  <c r="C28" i="3" s="1"/>
  <c r="D28" i="3" s="1"/>
  <c r="B172" i="3"/>
  <c r="C172" i="3" s="1" a="1"/>
  <c r="C172" i="3" s="1"/>
  <c r="D172" i="3" s="1"/>
  <c r="B80" i="3"/>
  <c r="C80" i="3" s="1" a="1"/>
  <c r="C80" i="3" s="1"/>
  <c r="D80" i="3" s="1"/>
  <c r="B8" i="3"/>
  <c r="C8" i="3" s="1" a="1"/>
  <c r="C8" i="3" s="1"/>
  <c r="D8" i="3" s="1"/>
  <c r="B92" i="3"/>
  <c r="C92" i="3" s="1" a="1"/>
  <c r="C92" i="3" s="1"/>
  <c r="D92" i="3" s="1"/>
  <c r="B88" i="3"/>
  <c r="C88" i="3" s="1" a="1"/>
  <c r="C88" i="3" s="1"/>
  <c r="D88" i="3" s="1"/>
  <c r="B20" i="3"/>
  <c r="C20" i="3" s="1" a="1"/>
  <c r="C20" i="3" s="1"/>
  <c r="D20" i="3" s="1"/>
  <c r="B51" i="3"/>
  <c r="C51" i="3" s="1" a="1"/>
  <c r="C51" i="3" s="1"/>
  <c r="D51" i="3" s="1"/>
  <c r="B97" i="3"/>
  <c r="C97" i="3" s="1" a="1"/>
  <c r="C97" i="3" s="1"/>
  <c r="D97" i="3" s="1"/>
  <c r="B117" i="3"/>
  <c r="C117" i="3" s="1" a="1"/>
  <c r="C117" i="3" s="1"/>
  <c r="D117" i="3" s="1"/>
  <c r="B26" i="3"/>
  <c r="C26" i="3" s="1" a="1"/>
  <c r="C26" i="3" s="1"/>
  <c r="D26" i="3" s="1"/>
  <c r="B142" i="3"/>
  <c r="C142" i="3" s="1" a="1"/>
  <c r="C142" i="3" s="1"/>
  <c r="D142" i="3" s="1"/>
  <c r="B188" i="3"/>
  <c r="C188" i="3" s="1" a="1"/>
  <c r="C188" i="3" s="1"/>
  <c r="D188" i="3" s="1"/>
  <c r="B159" i="3"/>
  <c r="C159" i="3" s="1" a="1"/>
  <c r="C159" i="3" s="1"/>
  <c r="D159" i="3" s="1"/>
  <c r="B149" i="3"/>
  <c r="C149" i="3" s="1" a="1"/>
  <c r="C149" i="3" s="1"/>
  <c r="D149" i="3" s="1"/>
  <c r="B185" i="3"/>
  <c r="C185" i="3" s="1" a="1"/>
  <c r="C185" i="3" s="1"/>
  <c r="D185" i="3" s="1"/>
  <c r="B96" i="3"/>
  <c r="C96" i="3" s="1" a="1"/>
  <c r="C96" i="3" s="1"/>
  <c r="D96" i="3" s="1"/>
  <c r="B163" i="3"/>
  <c r="C163" i="3" s="1" a="1"/>
  <c r="C163" i="3" s="1"/>
  <c r="D163" i="3" s="1"/>
  <c r="B195" i="3"/>
  <c r="C195" i="3" s="1" a="1"/>
  <c r="C195" i="3" s="1"/>
  <c r="D195" i="3" s="1"/>
  <c r="B36" i="3"/>
  <c r="C36" i="3" s="1" a="1"/>
  <c r="C36" i="3" s="1"/>
  <c r="D36" i="3" s="1"/>
  <c r="B157" i="3"/>
  <c r="C157" i="3" s="1" a="1"/>
  <c r="C157" i="3" s="1"/>
  <c r="D157" i="3" s="1"/>
  <c r="B76" i="3"/>
  <c r="C76" i="3" s="1" a="1"/>
  <c r="C76" i="3" s="1"/>
  <c r="D76" i="3" s="1"/>
  <c r="B60" i="3"/>
  <c r="C60" i="3" s="1" a="1"/>
  <c r="C60" i="3" s="1"/>
  <c r="D60" i="3" s="1"/>
  <c r="B25" i="3"/>
  <c r="C25" i="3" s="1" a="1"/>
  <c r="C25" i="3" s="1"/>
  <c r="D25" i="3" s="1"/>
  <c r="B41" i="3"/>
  <c r="C41" i="3" s="1" a="1"/>
  <c r="C41" i="3" s="1"/>
  <c r="D41" i="3" s="1"/>
  <c r="B57" i="3"/>
  <c r="C57" i="3" s="1" a="1"/>
  <c r="C57" i="3" s="1"/>
  <c r="D57" i="3" s="1"/>
  <c r="B73" i="3"/>
  <c r="C73" i="3" s="1" a="1"/>
  <c r="C73" i="3" s="1"/>
  <c r="D73" i="3" s="1"/>
  <c r="B89" i="3"/>
  <c r="C89" i="3" s="1" a="1"/>
  <c r="C89" i="3" s="1"/>
  <c r="D89" i="3" s="1"/>
  <c r="B103" i="3"/>
  <c r="C103" i="3" s="1" a="1"/>
  <c r="C103" i="3" s="1"/>
  <c r="D103" i="3" s="1"/>
  <c r="B111" i="3"/>
  <c r="C111" i="3" s="1" a="1"/>
  <c r="C111" i="3" s="1"/>
  <c r="D111" i="3" s="1"/>
  <c r="B119" i="3"/>
  <c r="C119" i="3" s="1" a="1"/>
  <c r="C119" i="3" s="1"/>
  <c r="D119" i="3" s="1"/>
  <c r="B127" i="3"/>
  <c r="C127" i="3" s="1" a="1"/>
  <c r="C127" i="3" s="1"/>
  <c r="D127" i="3" s="1"/>
  <c r="B7" i="3"/>
  <c r="C7" i="3" s="1" a="1"/>
  <c r="C7" i="3" s="1"/>
  <c r="D7" i="3" s="1"/>
  <c r="B34" i="3"/>
  <c r="C34" i="3" s="1" a="1"/>
  <c r="C34" i="3" s="1"/>
  <c r="D34" i="3" s="1"/>
  <c r="B66" i="3"/>
  <c r="C66" i="3" s="1" a="1"/>
  <c r="C66" i="3" s="1"/>
  <c r="D66" i="3" s="1"/>
  <c r="B98" i="3"/>
  <c r="C98" i="3" s="1" a="1"/>
  <c r="C98" i="3" s="1"/>
  <c r="D98" i="3" s="1"/>
  <c r="B148" i="3"/>
  <c r="C148" i="3" s="1" a="1"/>
  <c r="C148" i="3" s="1"/>
  <c r="D148" i="3" s="1"/>
  <c r="B164" i="3"/>
  <c r="C164" i="3" s="1" a="1"/>
  <c r="C164" i="3" s="1"/>
  <c r="D164" i="3" s="1"/>
  <c r="B180" i="3"/>
  <c r="C180" i="3" s="1" a="1"/>
  <c r="C180" i="3" s="1"/>
  <c r="D180" i="3" s="1"/>
  <c r="B196" i="3"/>
  <c r="C196" i="3" s="1" a="1"/>
  <c r="C196" i="3" s="1"/>
  <c r="D196" i="3" s="1"/>
  <c r="E6" i="2"/>
  <c r="E7" i="2" s="1"/>
  <c r="E8" i="2" s="1"/>
  <c r="B40" i="3"/>
  <c r="C40" i="3" s="1" a="1"/>
  <c r="C40" i="3" s="1"/>
  <c r="D40" i="3" s="1"/>
  <c r="B135" i="3"/>
  <c r="C135" i="3" s="1" a="1"/>
  <c r="C135" i="3" s="1"/>
  <c r="D135" i="3" s="1"/>
  <c r="B167" i="3"/>
  <c r="C167" i="3" s="1" a="1"/>
  <c r="C167" i="3" s="1"/>
  <c r="D167" i="3" s="1"/>
  <c r="B199" i="3"/>
  <c r="C199" i="3" s="1" a="1"/>
  <c r="C199" i="3" s="1"/>
  <c r="D199" i="3" s="1"/>
  <c r="B52" i="3"/>
  <c r="C52" i="3" s="1" a="1"/>
  <c r="C52" i="3" s="1"/>
  <c r="D52" i="3" s="1"/>
  <c r="B165" i="3"/>
  <c r="C165" i="3" s="1" a="1"/>
  <c r="C165" i="3" s="1"/>
  <c r="D165" i="3" s="1"/>
  <c r="B145" i="3"/>
  <c r="C145" i="3" s="1" a="1"/>
  <c r="C145" i="3" s="1"/>
  <c r="D145" i="3" s="1"/>
  <c r="B153" i="3"/>
  <c r="C153" i="3" s="1" a="1"/>
  <c r="C153" i="3" s="1"/>
  <c r="D153" i="3" s="1"/>
  <c r="B191" i="3"/>
  <c r="C191" i="3" s="1" a="1"/>
  <c r="C191" i="3" s="1"/>
  <c r="D191" i="3" s="1"/>
  <c r="B38" i="3"/>
  <c r="C38" i="3" s="1" a="1"/>
  <c r="C38" i="3" s="1"/>
  <c r="D38" i="3" s="1"/>
  <c r="B70" i="3"/>
  <c r="C70" i="3" s="1" a="1"/>
  <c r="C70" i="3" s="1"/>
  <c r="D70" i="3" s="1"/>
  <c r="B134" i="3"/>
  <c r="C134" i="3" s="1" a="1"/>
  <c r="C134" i="3" s="1"/>
  <c r="D134" i="3" s="1"/>
  <c r="B150" i="3"/>
  <c r="C150" i="3" s="1" a="1"/>
  <c r="C150" i="3" s="1"/>
  <c r="D150" i="3" s="1"/>
  <c r="B166" i="3"/>
  <c r="C166" i="3" s="1" a="1"/>
  <c r="C166" i="3" s="1"/>
  <c r="D166" i="3" s="1"/>
  <c r="B182" i="3"/>
  <c r="C182" i="3" s="1" a="1"/>
  <c r="C182" i="3" s="1"/>
  <c r="D182" i="3" s="1"/>
  <c r="B48" i="3"/>
  <c r="C48" i="3" s="1" a="1"/>
  <c r="C48" i="3" s="1"/>
  <c r="D48" i="3" s="1"/>
  <c r="B139" i="3"/>
  <c r="C139" i="3" s="1" a="1"/>
  <c r="C139" i="3" s="1"/>
  <c r="D139" i="3" s="1"/>
  <c r="B171" i="3"/>
  <c r="C171" i="3" s="1" a="1"/>
  <c r="C171" i="3" s="1"/>
  <c r="D171" i="3" s="1"/>
  <c r="B203" i="3"/>
  <c r="C203" i="3" s="1" a="1"/>
  <c r="C203" i="3" s="1"/>
  <c r="D203" i="3" s="1"/>
  <c r="B68" i="3"/>
  <c r="C68" i="3" s="1" a="1"/>
  <c r="C68" i="3" s="1"/>
  <c r="D68" i="3" s="1"/>
  <c r="B173" i="3"/>
  <c r="C173" i="3" s="1" a="1"/>
  <c r="C173" i="3" s="1"/>
  <c r="D173" i="3" s="1"/>
  <c r="B161" i="3"/>
  <c r="C161" i="3" s="1" a="1"/>
  <c r="C161" i="3" s="1"/>
  <c r="D161" i="3" s="1"/>
  <c r="C9" i="5"/>
  <c r="D9" i="5"/>
  <c r="F9" i="5"/>
  <c r="B11" i="3"/>
  <c r="C11" i="3" s="1" a="1"/>
  <c r="C11" i="3" s="1"/>
  <c r="D11" i="3" s="1"/>
  <c r="B42" i="3"/>
  <c r="C42" i="3" s="1" a="1"/>
  <c r="C42" i="3" s="1"/>
  <c r="D42" i="3" s="1"/>
  <c r="B74" i="3"/>
  <c r="C74" i="3" s="1" a="1"/>
  <c r="C74" i="3" s="1"/>
  <c r="D74" i="3" s="1"/>
  <c r="B136" i="3"/>
  <c r="C136" i="3" s="1" a="1"/>
  <c r="C136" i="3" s="1"/>
  <c r="D136" i="3" s="1"/>
  <c r="B152" i="3"/>
  <c r="C152" i="3" s="1" a="1"/>
  <c r="C152" i="3" s="1"/>
  <c r="D152" i="3" s="1"/>
  <c r="B168" i="3"/>
  <c r="C168" i="3" s="1" a="1"/>
  <c r="C168" i="3" s="1"/>
  <c r="D168" i="3" s="1"/>
  <c r="B184" i="3"/>
  <c r="C184" i="3" s="1" a="1"/>
  <c r="C184" i="3" s="1"/>
  <c r="D184" i="3" s="1"/>
  <c r="B200" i="3"/>
  <c r="C200" i="3" s="1" a="1"/>
  <c r="C200" i="3" s="1"/>
  <c r="D200" i="3" s="1"/>
  <c r="B56" i="3"/>
  <c r="C56" i="3" s="1" a="1"/>
  <c r="C56" i="3" s="1"/>
  <c r="D56" i="3" s="1"/>
  <c r="B143" i="3"/>
  <c r="C143" i="3" s="1" a="1"/>
  <c r="C143" i="3" s="1"/>
  <c r="D143" i="3" s="1"/>
  <c r="B175" i="3"/>
  <c r="C175" i="3" s="1" a="1"/>
  <c r="C175" i="3" s="1"/>
  <c r="D175" i="3" s="1"/>
  <c r="B84" i="3"/>
  <c r="C84" i="3" s="1" a="1"/>
  <c r="C84" i="3" s="1"/>
  <c r="D84" i="3" s="1"/>
  <c r="B177" i="3"/>
  <c r="C177" i="3" s="1" a="1"/>
  <c r="C177" i="3" s="1"/>
  <c r="D177" i="3" s="1"/>
  <c r="B23" i="3"/>
  <c r="C23" i="3" s="1" a="1"/>
  <c r="C23" i="3" s="1"/>
  <c r="D23" i="3" s="1"/>
  <c r="B39" i="3"/>
  <c r="C39" i="3" s="1" a="1"/>
  <c r="C39" i="3" s="1"/>
  <c r="D39" i="3" s="1"/>
  <c r="B55" i="3"/>
  <c r="C55" i="3" s="1" a="1"/>
  <c r="C55" i="3" s="1"/>
  <c r="D55" i="3" s="1"/>
  <c r="B71" i="3"/>
  <c r="C71" i="3" s="1" a="1"/>
  <c r="C71" i="3" s="1"/>
  <c r="D71" i="3" s="1"/>
  <c r="B87" i="3"/>
  <c r="C87" i="3" s="1" a="1"/>
  <c r="C87" i="3" s="1"/>
  <c r="D87" i="3" s="1"/>
  <c r="B102" i="3"/>
  <c r="C102" i="3" s="1" a="1"/>
  <c r="C102" i="3" s="1"/>
  <c r="D102" i="3" s="1"/>
  <c r="B110" i="3"/>
  <c r="C110" i="3" s="1" a="1"/>
  <c r="C110" i="3" s="1"/>
  <c r="D110" i="3" s="1"/>
  <c r="B118" i="3"/>
  <c r="C118" i="3" s="1" a="1"/>
  <c r="C118" i="3" s="1"/>
  <c r="D118" i="3" s="1"/>
  <c r="B126" i="3"/>
  <c r="C126" i="3" s="1" a="1"/>
  <c r="C126" i="3" s="1"/>
  <c r="D126" i="3" s="1"/>
  <c r="B5" i="3"/>
  <c r="C5" i="3" s="1" a="1"/>
  <c r="C5" i="3" s="1"/>
  <c r="D5" i="3" s="1"/>
  <c r="B30" i="3"/>
  <c r="C30" i="3" s="1" a="1"/>
  <c r="C30" i="3" s="1"/>
  <c r="D30" i="3" s="1"/>
  <c r="B62" i="3"/>
  <c r="C62" i="3" s="1" a="1"/>
  <c r="C62" i="3" s="1"/>
  <c r="D62" i="3" s="1"/>
  <c r="B94" i="3"/>
  <c r="C94" i="3" s="1" a="1"/>
  <c r="C94" i="3" s="1"/>
  <c r="D94" i="3" s="1"/>
  <c r="B146" i="3"/>
  <c r="C146" i="3" s="1" a="1"/>
  <c r="C146" i="3" s="1"/>
  <c r="D146" i="3" s="1"/>
  <c r="B162" i="3"/>
  <c r="C162" i="3" s="1" a="1"/>
  <c r="C162" i="3" s="1"/>
  <c r="D162" i="3" s="1"/>
  <c r="B178" i="3"/>
  <c r="C178" i="3" s="1" a="1"/>
  <c r="C178" i="3" s="1"/>
  <c r="D178" i="3" s="1"/>
  <c r="B194" i="3"/>
  <c r="C194" i="3" s="1" a="1"/>
  <c r="C194" i="3" s="1"/>
  <c r="D194" i="3" s="1"/>
  <c r="B32" i="3"/>
  <c r="C32" i="3" s="1" a="1"/>
  <c r="C32" i="3" s="1"/>
  <c r="D32" i="3" s="1"/>
  <c r="B27" i="3"/>
  <c r="C27" i="3" s="1" a="1"/>
  <c r="C27" i="3" s="1"/>
  <c r="D27" i="3" s="1"/>
  <c r="B43" i="3"/>
  <c r="C43" i="3" s="1" a="1"/>
  <c r="C43" i="3" s="1"/>
  <c r="D43" i="3" s="1"/>
  <c r="B59" i="3"/>
  <c r="C59" i="3" s="1" a="1"/>
  <c r="C59" i="3" s="1"/>
  <c r="D59" i="3" s="1"/>
  <c r="B75" i="3"/>
  <c r="C75" i="3" s="1" a="1"/>
  <c r="C75" i="3" s="1"/>
  <c r="D75" i="3" s="1"/>
  <c r="B91" i="3"/>
  <c r="C91" i="3" s="1" a="1"/>
  <c r="C91" i="3" s="1"/>
  <c r="D91" i="3" s="1"/>
  <c r="B104" i="3"/>
  <c r="C104" i="3" s="1" a="1"/>
  <c r="C104" i="3" s="1"/>
  <c r="D104" i="3" s="1"/>
  <c r="B112" i="3"/>
  <c r="C112" i="3" s="1" a="1"/>
  <c r="C112" i="3" s="1"/>
  <c r="D112" i="3" s="1"/>
  <c r="B120" i="3"/>
  <c r="C120" i="3" s="1" a="1"/>
  <c r="C120" i="3" s="1"/>
  <c r="D120" i="3" s="1"/>
  <c r="B128" i="3"/>
  <c r="C128" i="3" s="1" a="1"/>
  <c r="C128" i="3" s="1"/>
  <c r="D128" i="3" s="1"/>
  <c r="B9" i="3"/>
  <c r="C9" i="3" s="1" a="1"/>
  <c r="C9" i="3" s="1"/>
  <c r="D9" i="3" s="1"/>
  <c r="B198" i="3"/>
  <c r="C198" i="3" s="1" a="1"/>
  <c r="C198" i="3" s="1"/>
  <c r="D198" i="3" s="1"/>
  <c r="B13" i="3"/>
  <c r="C13" i="3" s="1" a="1"/>
  <c r="C13" i="3" s="1"/>
  <c r="D13" i="3" s="1"/>
  <c r="B29" i="3"/>
  <c r="C29" i="3" s="1" a="1"/>
  <c r="C29" i="3" s="1"/>
  <c r="D29" i="3" s="1"/>
  <c r="B45" i="3"/>
  <c r="C45" i="3" s="1" a="1"/>
  <c r="C45" i="3" s="1"/>
  <c r="D45" i="3" s="1"/>
  <c r="B61" i="3"/>
  <c r="C61" i="3" s="1" a="1"/>
  <c r="C61" i="3" s="1"/>
  <c r="D61" i="3" s="1"/>
  <c r="B77" i="3"/>
  <c r="C77" i="3" s="1" a="1"/>
  <c r="C77" i="3" s="1"/>
  <c r="D77" i="3" s="1"/>
  <c r="B93" i="3"/>
  <c r="C93" i="3" s="1" a="1"/>
  <c r="C93" i="3" s="1"/>
  <c r="D93" i="3" s="1"/>
  <c r="B105" i="3"/>
  <c r="C105" i="3" s="1" a="1"/>
  <c r="C105" i="3" s="1"/>
  <c r="D105" i="3" s="1"/>
  <c r="B113" i="3"/>
  <c r="C113" i="3" s="1" a="1"/>
  <c r="C113" i="3" s="1"/>
  <c r="D113" i="3" s="1"/>
  <c r="B121" i="3"/>
  <c r="C121" i="3" s="1" a="1"/>
  <c r="C121" i="3" s="1"/>
  <c r="D121" i="3" s="1"/>
  <c r="B129" i="3"/>
  <c r="C129" i="3" s="1" a="1"/>
  <c r="C129" i="3" s="1"/>
  <c r="D129" i="3" s="1"/>
  <c r="B181" i="3"/>
  <c r="C181" i="3" s="1" a="1"/>
  <c r="C181" i="3" s="1"/>
  <c r="D181" i="3" s="1"/>
  <c r="B15" i="3"/>
  <c r="C15" i="3" s="1" a="1"/>
  <c r="C15" i="3" s="1"/>
  <c r="D15" i="3" s="1"/>
  <c r="B31" i="3"/>
  <c r="C31" i="3" s="1" a="1"/>
  <c r="C31" i="3" s="1"/>
  <c r="D31" i="3" s="1"/>
  <c r="B47" i="3"/>
  <c r="C47" i="3" s="1" a="1"/>
  <c r="C47" i="3" s="1"/>
  <c r="D47" i="3" s="1"/>
  <c r="B63" i="3"/>
  <c r="C63" i="3" s="1" a="1"/>
  <c r="C63" i="3" s="1"/>
  <c r="D63" i="3" s="1"/>
  <c r="B79" i="3"/>
  <c r="C79" i="3" s="1" a="1"/>
  <c r="C79" i="3" s="1"/>
  <c r="D79" i="3" s="1"/>
  <c r="B95" i="3"/>
  <c r="C95" i="3" s="1" a="1"/>
  <c r="C95" i="3" s="1"/>
  <c r="D95" i="3" s="1"/>
  <c r="B106" i="3"/>
  <c r="C106" i="3" s="1" a="1"/>
  <c r="C106" i="3" s="1"/>
  <c r="D106" i="3" s="1"/>
  <c r="B114" i="3"/>
  <c r="C114" i="3" s="1" a="1"/>
  <c r="C114" i="3" s="1"/>
  <c r="D114" i="3" s="1"/>
  <c r="B122" i="3"/>
  <c r="C122" i="3" s="1" a="1"/>
  <c r="C122" i="3" s="1"/>
  <c r="D122" i="3" s="1"/>
  <c r="B130" i="3"/>
  <c r="C130" i="3" s="1" a="1"/>
  <c r="C130" i="3" s="1"/>
  <c r="D130" i="3" s="1"/>
  <c r="B14" i="3"/>
  <c r="C14" i="3" s="1" a="1"/>
  <c r="C14" i="3" s="1"/>
  <c r="D14" i="3" s="1"/>
  <c r="B46" i="3"/>
  <c r="C46" i="3" s="1" a="1"/>
  <c r="C46" i="3" s="1"/>
  <c r="D46" i="3" s="1"/>
  <c r="B78" i="3"/>
  <c r="C78" i="3" s="1" a="1"/>
  <c r="C78" i="3" s="1"/>
  <c r="D78" i="3" s="1"/>
  <c r="B138" i="3"/>
  <c r="C138" i="3" s="1" a="1"/>
  <c r="C138" i="3" s="1"/>
  <c r="D138" i="3" s="1"/>
  <c r="B154" i="3"/>
  <c r="C154" i="3" s="1" a="1"/>
  <c r="C154" i="3" s="1"/>
  <c r="D154" i="3" s="1"/>
  <c r="B170" i="3"/>
  <c r="C170" i="3" s="1" a="1"/>
  <c r="C170" i="3" s="1"/>
  <c r="D170" i="3" s="1"/>
  <c r="B186" i="3"/>
  <c r="C186" i="3" s="1" a="1"/>
  <c r="C186" i="3" s="1"/>
  <c r="D186" i="3" s="1"/>
  <c r="B202" i="3"/>
  <c r="C202" i="3" s="1" a="1"/>
  <c r="C202" i="3" s="1"/>
  <c r="D202" i="3" s="1"/>
  <c r="B6" i="3"/>
  <c r="C6" i="3" s="1" a="1"/>
  <c r="C6" i="3" s="1"/>
  <c r="D6" i="3" s="1"/>
  <c r="B64" i="3"/>
  <c r="C64" i="3" s="1" a="1"/>
  <c r="C64" i="3" s="1"/>
  <c r="D64" i="3" s="1"/>
  <c r="B147" i="3"/>
  <c r="C147" i="3" s="1" a="1"/>
  <c r="C147" i="3" s="1"/>
  <c r="D147" i="3" s="1"/>
  <c r="B179" i="3"/>
  <c r="C179" i="3" s="1" a="1"/>
  <c r="C179" i="3" s="1"/>
  <c r="D179" i="3" s="1"/>
  <c r="B100" i="3"/>
  <c r="C100" i="3" s="1" a="1"/>
  <c r="C100" i="3" s="1"/>
  <c r="D100" i="3" s="1"/>
  <c r="B189" i="3"/>
  <c r="C189" i="3" s="1" a="1"/>
  <c r="C189" i="3" s="1"/>
  <c r="D189" i="3" s="1"/>
  <c r="B193" i="3"/>
  <c r="C193" i="3" s="1" a="1"/>
  <c r="C193" i="3" s="1"/>
  <c r="D193" i="3" s="1"/>
  <c r="B137" i="3"/>
  <c r="C137" i="3" s="1" a="1"/>
  <c r="C137" i="3" s="1"/>
  <c r="D137" i="3" s="1"/>
  <c r="B151" i="3"/>
  <c r="C151" i="3" s="1" a="1"/>
  <c r="C151" i="3" s="1"/>
  <c r="D151" i="3" s="1"/>
  <c r="B183" i="3"/>
  <c r="C183" i="3" s="1" a="1"/>
  <c r="C183" i="3" s="1"/>
  <c r="D183" i="3" s="1"/>
  <c r="B133" i="3"/>
  <c r="C133" i="3" s="1" a="1"/>
  <c r="C133" i="3" s="1"/>
  <c r="D133" i="3" s="1"/>
  <c r="B197" i="3"/>
  <c r="C197" i="3" s="1" a="1"/>
  <c r="C197" i="3" s="1"/>
  <c r="D197" i="3" s="1"/>
  <c r="B169" i="3"/>
  <c r="C169" i="3" s="1" a="1"/>
  <c r="C169" i="3" s="1"/>
  <c r="D169" i="3" s="1"/>
  <c r="AA1" i="1"/>
  <c r="H10" i="2" s="1"/>
  <c r="Z1" i="1"/>
  <c r="G10" i="2" s="1"/>
  <c r="J16" i="2"/>
  <c r="Y1" i="1"/>
  <c r="F10" i="2" s="1"/>
  <c r="X1" i="1"/>
  <c r="E10" i="2" s="1"/>
  <c r="E25" i="2" a="1"/>
  <c r="E25" i="2" s="1"/>
  <c r="W1" i="1"/>
  <c r="D10" i="2" s="1"/>
  <c r="V1" i="1"/>
  <c r="C10" i="2" s="1"/>
  <c r="J14" i="2" l="1"/>
  <c r="T1" i="3" s="1"/>
  <c r="T2" i="3" s="1"/>
  <c r="F6" i="2"/>
  <c r="F7" i="2" s="1"/>
  <c r="F8" i="2" s="1"/>
  <c r="I6" i="2"/>
  <c r="L6" i="2"/>
  <c r="C6" i="2"/>
  <c r="C7" i="2" s="1"/>
  <c r="C8" i="2" s="1"/>
  <c r="B6" i="2"/>
  <c r="B7" i="2" s="1"/>
  <c r="B8" i="2" s="1"/>
  <c r="J6" i="2"/>
  <c r="G6" i="2"/>
  <c r="G7" i="2" s="1"/>
  <c r="G8" i="2" s="1"/>
  <c r="K6" i="2"/>
  <c r="H6" i="2"/>
  <c r="H7" i="2" s="1"/>
  <c r="H8" i="2" s="1"/>
  <c r="J25" i="2" a="1"/>
  <c r="J25" i="2" s="1"/>
  <c r="H4" i="3" a="1"/>
  <c r="H4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Jayavel Sounderpandian</author>
  </authors>
  <commentList>
    <comment ref="B3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Enter the dependent variable in this column.  </t>
        </r>
        <r>
          <rPr>
            <sz val="8"/>
            <color indexed="81"/>
            <rFont val="Tahoma"/>
            <family val="2"/>
          </rPr>
          <t>Up to 200 values can be entered.</t>
        </r>
      </text>
    </comment>
    <comment ref="D3" authorId="0" shapeId="0" xr:uid="{00000000-0006-0000-0000-000002000000}">
      <text>
        <r>
          <rPr>
            <sz val="8"/>
            <color indexed="81"/>
            <rFont val="Tahoma"/>
            <family val="2"/>
          </rPr>
          <t>Use these labels for sorting the columns as desired.  For example. If you wish to interchange columns 1 and 2, interchange the name X1 and X2 at the top and use the sort command to sort the columns X1 and X2.</t>
        </r>
      </text>
    </comment>
    <comment ref="C4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Do not erase the 1's in this column.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Jayavel Sounderpandian</author>
  </authors>
  <commentList>
    <comment ref="I1" authorId="0" shapeId="0" xr:uid="{00000000-0006-0000-0100-000001000000}">
      <text>
        <r>
          <rPr>
            <sz val="8"/>
            <color indexed="81"/>
            <rFont val="Tahoma"/>
            <family val="2"/>
          </rPr>
          <t>To change the title here, change it on the Data sheet.</t>
        </r>
      </text>
    </comment>
    <comment ref="B22" authorId="0" shapeId="0" xr:uid="{00000000-0006-0000-0100-000002000000}">
      <text>
        <r>
          <rPr>
            <sz val="8"/>
            <color indexed="81"/>
            <rFont val="Tahoma"/>
            <family val="2"/>
          </rPr>
          <t>Do not delete this cell.</t>
        </r>
      </text>
    </comment>
    <comment ref="C22" authorId="0" shapeId="0" xr:uid="{00000000-0006-0000-0100-000003000000}">
      <text>
        <r>
          <rPr>
            <sz val="8"/>
            <color indexed="81"/>
            <rFont val="Tahoma"/>
            <family val="2"/>
          </rPr>
          <t xml:space="preserve">Enter the given values for </t>
        </r>
        <r>
          <rPr>
            <b/>
            <sz val="8"/>
            <color indexed="81"/>
            <rFont val="Tahoma"/>
            <family val="2"/>
          </rPr>
          <t>all</t>
        </r>
        <r>
          <rPr>
            <sz val="8"/>
            <color indexed="81"/>
            <rFont val="Tahoma"/>
            <family val="2"/>
          </rPr>
          <t xml:space="preserve"> the independent varaibles in this row.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Jayavel Sounderpandian</author>
  </authors>
  <commentList>
    <comment ref="D4" authorId="0" shapeId="0" xr:uid="{00000000-0006-0000-0400-000001000000}">
      <text>
        <r>
          <rPr>
            <sz val="8"/>
            <color indexed="81"/>
            <rFont val="Tahoma"/>
            <family val="2"/>
          </rPr>
          <t xml:space="preserve">This must be between 0 and </t>
        </r>
        <r>
          <rPr>
            <i/>
            <sz val="8"/>
            <color indexed="81"/>
            <rFont val="Tahoma"/>
            <family val="2"/>
          </rPr>
          <t>k</t>
        </r>
        <r>
          <rPr>
            <sz val="8"/>
            <color indexed="81"/>
            <rFont val="Tahoma"/>
            <family val="2"/>
          </rPr>
          <t xml:space="preserve">. If Partial </t>
        </r>
        <r>
          <rPr>
            <i/>
            <sz val="8"/>
            <color indexed="81"/>
            <rFont val="Tahoma"/>
            <family val="2"/>
          </rPr>
          <t>F</t>
        </r>
        <r>
          <rPr>
            <sz val="8"/>
            <color indexed="81"/>
            <rFont val="Tahoma"/>
            <family val="2"/>
          </rPr>
          <t xml:space="preserve"> is not needed, let </t>
        </r>
        <r>
          <rPr>
            <i/>
            <sz val="8"/>
            <color indexed="81"/>
            <rFont val="Tahoma"/>
            <family val="2"/>
          </rPr>
          <t>r</t>
        </r>
        <r>
          <rPr>
            <sz val="8"/>
            <color indexed="81"/>
            <rFont val="Tahoma"/>
            <family val="2"/>
          </rPr>
          <t xml:space="preserve"> = 0.
Note that the last </t>
        </r>
        <r>
          <rPr>
            <i/>
            <sz val="8"/>
            <color indexed="81"/>
            <rFont val="Tahoma"/>
            <family val="2"/>
          </rPr>
          <t>r</t>
        </r>
        <r>
          <rPr>
            <sz val="8"/>
            <color indexed="81"/>
            <rFont val="Tahoma"/>
            <family val="2"/>
          </rPr>
          <t xml:space="preserve"> variables are dropped.</t>
        </r>
      </text>
    </comment>
  </commentList>
</comments>
</file>

<file path=xl/sharedStrings.xml><?xml version="1.0" encoding="utf-8"?>
<sst xmlns="http://schemas.openxmlformats.org/spreadsheetml/2006/main" count="75" uniqueCount="72">
  <si>
    <t>Multiple Regression</t>
  </si>
  <si>
    <t>Y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</si>
  <si>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</si>
  <si>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</si>
  <si>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</si>
  <si>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</si>
  <si>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</si>
  <si>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</si>
  <si>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</si>
  <si>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</si>
  <si>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</si>
  <si>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</si>
  <si>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Ones</t>
  </si>
  <si>
    <t>Multiple Regression Results</t>
  </si>
  <si>
    <t>Intercept</t>
  </si>
  <si>
    <t>b</t>
  </si>
  <si>
    <t>s(b)</t>
  </si>
  <si>
    <t>t</t>
  </si>
  <si>
    <t>ANOVA Table</t>
  </si>
  <si>
    <t>Source</t>
  </si>
  <si>
    <t>SS</t>
  </si>
  <si>
    <t>df</t>
  </si>
  <si>
    <t>MS</t>
  </si>
  <si>
    <t>F</t>
  </si>
  <si>
    <t>Regn.</t>
  </si>
  <si>
    <t>Error</t>
  </si>
  <si>
    <t>Total</t>
  </si>
  <si>
    <r>
      <t>R</t>
    </r>
    <r>
      <rPr>
        <vertAlign val="superscript"/>
        <sz val="10"/>
        <rFont val="Arial"/>
        <family val="2"/>
      </rPr>
      <t>2</t>
    </r>
  </si>
  <si>
    <r>
      <t>Adjusted R</t>
    </r>
    <r>
      <rPr>
        <vertAlign val="superscript"/>
        <sz val="10"/>
        <rFont val="Arial"/>
        <family val="2"/>
      </rPr>
      <t>2</t>
    </r>
  </si>
  <si>
    <t>Prediction Interval</t>
  </si>
  <si>
    <t>Given X</t>
  </si>
  <si>
    <r>
      <t>(1-</t>
    </r>
    <r>
      <rPr>
        <b/>
        <sz val="10"/>
        <rFont val="Symbol"/>
        <family val="1"/>
        <charset val="2"/>
      </rPr>
      <t>a</t>
    </r>
    <r>
      <rPr>
        <b/>
        <sz val="10"/>
        <rFont val="Arial"/>
        <family val="2"/>
      </rPr>
      <t>) CI for Y for given X</t>
    </r>
  </si>
  <si>
    <r>
      <t>(1-</t>
    </r>
    <r>
      <rPr>
        <b/>
        <sz val="10"/>
        <rFont val="Symbol"/>
        <family val="1"/>
        <charset val="2"/>
      </rPr>
      <t>a</t>
    </r>
    <r>
      <rPr>
        <b/>
        <sz val="10"/>
        <rFont val="Arial"/>
        <family val="2"/>
      </rPr>
      <t>) CI for E[Y | X]</t>
    </r>
  </si>
  <si>
    <t>+ or -</t>
  </si>
  <si>
    <t>Residual Analysis</t>
  </si>
  <si>
    <t>Select X Axis for the Residual Plot.</t>
  </si>
  <si>
    <t>Errors</t>
  </si>
  <si>
    <t>Durbin-Watson d =</t>
  </si>
  <si>
    <t>k</t>
  </si>
  <si>
    <r>
      <t>SSE</t>
    </r>
    <r>
      <rPr>
        <vertAlign val="subscript"/>
        <sz val="10"/>
        <rFont val="Arial"/>
        <family val="2"/>
      </rPr>
      <t>R</t>
    </r>
  </si>
  <si>
    <r>
      <t>1-</t>
    </r>
    <r>
      <rPr>
        <b/>
        <sz val="10"/>
        <rFont val="Symbol"/>
        <family val="1"/>
        <charset val="2"/>
      </rPr>
      <t>a</t>
    </r>
  </si>
  <si>
    <t>Press the F9 key before reading these results.</t>
  </si>
  <si>
    <r>
      <t xml:space="preserve">Press the </t>
    </r>
    <r>
      <rPr>
        <b/>
        <sz val="10"/>
        <color indexed="14"/>
        <rFont val="Arial"/>
        <family val="2"/>
      </rPr>
      <t xml:space="preserve">F9 </t>
    </r>
    <r>
      <rPr>
        <sz val="10"/>
        <color indexed="14"/>
        <rFont val="Arial"/>
        <family val="2"/>
      </rPr>
      <t>key.</t>
    </r>
  </si>
  <si>
    <r>
      <t xml:space="preserve">Partial </t>
    </r>
    <r>
      <rPr>
        <b/>
        <i/>
        <sz val="10"/>
        <rFont val="Arial"/>
        <family val="2"/>
      </rPr>
      <t>F</t>
    </r>
  </si>
  <si>
    <r>
      <t>p</t>
    </r>
    <r>
      <rPr>
        <sz val="10"/>
        <rFont val="Arial"/>
        <family val="2"/>
      </rPr>
      <t>-value</t>
    </r>
  </si>
  <si>
    <r>
      <t xml:space="preserve">Partial </t>
    </r>
    <r>
      <rPr>
        <b/>
        <i/>
        <sz val="12"/>
        <color indexed="12"/>
        <rFont val="Arial"/>
        <family val="2"/>
      </rPr>
      <t>F</t>
    </r>
    <r>
      <rPr>
        <b/>
        <sz val="12"/>
        <color indexed="12"/>
        <rFont val="Arial"/>
        <family val="2"/>
      </rPr>
      <t xml:space="preserve"> Calculations</t>
    </r>
  </si>
  <si>
    <t>Q</t>
  </si>
  <si>
    <t>Z</t>
  </si>
  <si>
    <t>Sl.No.</t>
  </si>
  <si>
    <r>
      <t>SSE</t>
    </r>
    <r>
      <rPr>
        <vertAlign val="subscript"/>
        <sz val="10"/>
        <rFont val="Arial"/>
        <family val="2"/>
      </rPr>
      <t>F</t>
    </r>
  </si>
  <si>
    <t>r</t>
  </si>
  <si>
    <r>
      <t xml:space="preserve">Press the </t>
    </r>
    <r>
      <rPr>
        <b/>
        <sz val="10"/>
        <color indexed="14"/>
        <rFont val="Arial"/>
        <family val="2"/>
      </rPr>
      <t>F9 key</t>
    </r>
    <r>
      <rPr>
        <sz val="10"/>
        <color indexed="14"/>
        <rFont val="Arial"/>
        <family val="2"/>
      </rPr>
      <t xml:space="preserve"> after entering </t>
    </r>
    <r>
      <rPr>
        <i/>
        <sz val="10"/>
        <color indexed="14"/>
        <rFont val="Arial"/>
        <family val="2"/>
      </rPr>
      <t>r</t>
    </r>
    <r>
      <rPr>
        <sz val="10"/>
        <color indexed="14"/>
        <rFont val="Arial"/>
        <family val="2"/>
      </rPr>
      <t>.</t>
    </r>
  </si>
  <si>
    <r>
      <t xml:space="preserve">#Independent variables </t>
    </r>
    <r>
      <rPr>
        <b/>
        <sz val="10"/>
        <rFont val="Arial"/>
        <family val="2"/>
      </rPr>
      <t>dropped</t>
    </r>
    <r>
      <rPr>
        <sz val="10"/>
        <rFont val="Arial"/>
        <family val="2"/>
      </rPr>
      <t xml:space="preserve"> from the model</t>
    </r>
  </si>
  <si>
    <t>p-value</t>
  </si>
  <si>
    <r>
      <t xml:space="preserve">Press the </t>
    </r>
    <r>
      <rPr>
        <b/>
        <sz val="10"/>
        <color indexed="14"/>
        <rFont val="Arial"/>
        <family val="2"/>
      </rPr>
      <t>F9</t>
    </r>
    <r>
      <rPr>
        <sz val="10"/>
        <color indexed="14"/>
        <rFont val="Arial"/>
        <family val="2"/>
      </rPr>
      <t xml:space="preserve"> key before reading the results.</t>
    </r>
  </si>
  <si>
    <r>
      <t xml:space="preserve">#Independent variables in </t>
    </r>
    <r>
      <rPr>
        <sz val="10"/>
        <rFont val="Arial"/>
        <family val="2"/>
      </rPr>
      <t>full</t>
    </r>
    <r>
      <rPr>
        <sz val="10"/>
        <rFont val="Arial"/>
        <family val="2"/>
      </rPr>
      <t xml:space="preserve"> model</t>
    </r>
  </si>
  <si>
    <t>Exports</t>
  </si>
  <si>
    <t>s</t>
  </si>
  <si>
    <r>
      <t>p</t>
    </r>
    <r>
      <rPr>
        <b/>
        <sz val="10"/>
        <rFont val="Arial"/>
        <family val="2"/>
      </rPr>
      <t>-value</t>
    </r>
  </si>
  <si>
    <r>
      <t>F</t>
    </r>
    <r>
      <rPr>
        <b/>
        <vertAlign val="subscript"/>
        <sz val="10"/>
        <rFont val="Arial"/>
        <family val="2"/>
      </rPr>
      <t>Critical</t>
    </r>
  </si>
  <si>
    <r>
      <t>X</t>
    </r>
    <r>
      <rPr>
        <b/>
        <sz val="10"/>
        <rFont val="Arial"/>
        <family val="2"/>
      </rPr>
      <t xml:space="preserve"> Axis</t>
    </r>
  </si>
  <si>
    <t>Correlation matrix</t>
  </si>
  <si>
    <t>VIF</t>
  </si>
  <si>
    <t>R^2</t>
  </si>
  <si>
    <t>Press the F9 key before reading the results.</t>
  </si>
  <si>
    <t>Price</t>
  </si>
  <si>
    <t>Age_08_04</t>
  </si>
  <si>
    <t>Mfg_Month</t>
  </si>
  <si>
    <t>KM</t>
  </si>
  <si>
    <t>HP</t>
  </si>
  <si>
    <t>Met_Color</t>
  </si>
  <si>
    <t>Automatic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</si>
</sst>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32" x14ac:knownFonts="1">
    <font>
      <sz val="10"/>
      <name val="Arial"/>
    </font>
    <font>
      <b/>
      <sz val="10"/>
      <name val="Arial"/>
      <family val="2"/>
    </font>
    <font>
      <i/>
      <sz val="10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sz val="10"/>
      <color indexed="14"/>
      <name val="Arial"/>
      <family val="2"/>
    </font>
    <font>
      <sz val="10"/>
      <name val="Arial"/>
      <family val="2"/>
    </font>
    <font>
      <sz val="12"/>
      <color indexed="9"/>
      <name val="Arial"/>
      <family val="2"/>
    </font>
    <font>
      <sz val="10"/>
      <color indexed="9"/>
      <name val="Arial"/>
      <family val="2"/>
    </font>
    <font>
      <b/>
      <sz val="10"/>
      <color indexed="9"/>
      <name val="Arial"/>
      <family val="2"/>
    </font>
    <font>
      <vertAlign val="superscript"/>
      <sz val="10"/>
      <name val="Arial"/>
      <family val="2"/>
    </font>
    <font>
      <b/>
      <sz val="10"/>
      <name val="Symbol"/>
      <family val="1"/>
      <charset val="2"/>
    </font>
    <font>
      <sz val="8"/>
      <name val="Arial"/>
      <family val="2"/>
    </font>
    <font>
      <vertAlign val="subscript"/>
      <sz val="10"/>
      <name val="Arial"/>
      <family val="2"/>
    </font>
    <font>
      <sz val="10"/>
      <color indexed="10"/>
      <name val="Arial"/>
      <family val="2"/>
    </font>
    <font>
      <sz val="10"/>
      <color indexed="14"/>
      <name val="Arial"/>
      <family val="2"/>
    </font>
    <font>
      <b/>
      <sz val="10"/>
      <color indexed="14"/>
      <name val="Arial"/>
      <family val="2"/>
    </font>
    <font>
      <b/>
      <sz val="10"/>
      <color indexed="12"/>
      <name val="Arial"/>
      <family val="2"/>
    </font>
    <font>
      <i/>
      <sz val="10"/>
      <color indexed="14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2"/>
      <color indexed="12"/>
      <name val="Arial"/>
      <family val="2"/>
    </font>
    <font>
      <b/>
      <sz val="10"/>
      <name val="Arial"/>
      <family val="2"/>
    </font>
    <font>
      <b/>
      <sz val="10"/>
      <color indexed="14"/>
      <name val="Arial"/>
      <family val="2"/>
    </font>
    <font>
      <b/>
      <i/>
      <sz val="10"/>
      <name val="Arial"/>
      <family val="2"/>
    </font>
    <font>
      <i/>
      <sz val="10"/>
      <name val="Arial"/>
      <family val="2"/>
    </font>
    <font>
      <b/>
      <i/>
      <sz val="12"/>
      <color indexed="12"/>
      <name val="Arial"/>
      <family val="2"/>
    </font>
    <font>
      <i/>
      <sz val="8"/>
      <color indexed="81"/>
      <name val="Tahoma"/>
      <family val="2"/>
    </font>
    <font>
      <b/>
      <vertAlign val="subscript"/>
      <sz val="10"/>
      <name val="Arial"/>
      <family val="2"/>
    </font>
    <font>
      <b/>
      <sz val="10"/>
      <color indexed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1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18"/>
      </top>
      <bottom style="medium">
        <color indexed="18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5" fillId="0" borderId="0" xfId="0" applyFont="1"/>
    <xf numFmtId="0" fontId="6" fillId="0" borderId="0" xfId="0" applyFont="1"/>
    <xf numFmtId="0" fontId="8" fillId="2" borderId="1" xfId="0" applyFont="1" applyFill="1" applyBorder="1" applyProtection="1">
      <protection locked="0"/>
    </xf>
    <xf numFmtId="0" fontId="9" fillId="2" borderId="2" xfId="0" applyFont="1" applyFill="1" applyBorder="1" applyProtection="1">
      <protection locked="0"/>
    </xf>
    <xf numFmtId="0" fontId="4" fillId="2" borderId="2" xfId="0" applyFont="1" applyFill="1" applyBorder="1" applyProtection="1">
      <protection locked="0"/>
    </xf>
    <xf numFmtId="0" fontId="4" fillId="2" borderId="3" xfId="0" applyFont="1" applyFill="1" applyBorder="1" applyProtection="1">
      <protection locked="0"/>
    </xf>
    <xf numFmtId="0" fontId="7" fillId="0" borderId="0" xfId="0" applyFont="1"/>
    <xf numFmtId="0" fontId="10" fillId="0" borderId="0" xfId="0" applyFont="1"/>
    <xf numFmtId="0" fontId="0" fillId="2" borderId="4" xfId="0" applyFill="1" applyBorder="1" applyAlignment="1" applyProtection="1">
      <alignment horizontal="center"/>
      <protection locked="0"/>
    </xf>
    <xf numFmtId="0" fontId="11" fillId="0" borderId="4" xfId="0" applyFont="1" applyBorder="1" applyAlignment="1">
      <alignment horizontal="center" vertical="center"/>
    </xf>
    <xf numFmtId="0" fontId="0" fillId="2" borderId="4" xfId="0" applyFill="1" applyBorder="1" applyAlignment="1" applyProtection="1">
      <alignment vertical="center"/>
      <protection locked="0"/>
    </xf>
    <xf numFmtId="0" fontId="0" fillId="0" borderId="0" xfId="0" applyAlignment="1">
      <alignment vertical="center"/>
    </xf>
    <xf numFmtId="0" fontId="0" fillId="2" borderId="4" xfId="0" applyFill="1" applyBorder="1" applyProtection="1">
      <protection locked="0"/>
    </xf>
    <xf numFmtId="0" fontId="0" fillId="0" borderId="4" xfId="0" applyBorder="1"/>
    <xf numFmtId="0" fontId="1" fillId="0" borderId="4" xfId="0" applyFont="1" applyBorder="1" applyAlignment="1">
      <alignment horizontal="center"/>
    </xf>
    <xf numFmtId="0" fontId="2" fillId="0" borderId="0" xfId="0" applyFont="1"/>
    <xf numFmtId="165" fontId="0" fillId="0" borderId="0" xfId="0" applyNumberFormat="1" applyBorder="1"/>
    <xf numFmtId="0" fontId="1" fillId="0" borderId="0" xfId="0" applyFont="1"/>
    <xf numFmtId="0" fontId="3" fillId="0" borderId="4" xfId="0" applyFont="1" applyBorder="1" applyAlignment="1">
      <alignment horizontal="left"/>
    </xf>
    <xf numFmtId="0" fontId="0" fillId="0" borderId="4" xfId="0" applyBorder="1" applyAlignment="1">
      <alignment horizontal="right"/>
    </xf>
    <xf numFmtId="0" fontId="0" fillId="0" borderId="0" xfId="0" applyAlignment="1">
      <alignment horizontal="right"/>
    </xf>
    <xf numFmtId="0" fontId="10" fillId="0" borderId="0" xfId="0" applyFont="1" applyFill="1" applyBorder="1" applyAlignment="1">
      <alignment horizontal="center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Continuous"/>
    </xf>
    <xf numFmtId="0" fontId="0" fillId="0" borderId="2" xfId="0" applyBorder="1" applyAlignment="1">
      <alignment horizontal="centerContinuous"/>
    </xf>
    <xf numFmtId="0" fontId="0" fillId="0" borderId="3" xfId="0" applyBorder="1" applyAlignment="1">
      <alignment horizontal="centerContinuous"/>
    </xf>
    <xf numFmtId="9" fontId="0" fillId="2" borderId="4" xfId="0" applyNumberFormat="1" applyFill="1" applyBorder="1" applyAlignment="1" applyProtection="1">
      <alignment horizontal="center"/>
      <protection locked="0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6" fillId="0" borderId="0" xfId="0" applyFont="1"/>
    <xf numFmtId="0" fontId="8" fillId="3" borderId="1" xfId="0" applyFont="1" applyFill="1" applyBorder="1" applyProtection="1"/>
    <xf numFmtId="0" fontId="9" fillId="3" borderId="2" xfId="0" applyFont="1" applyFill="1" applyBorder="1" applyProtection="1"/>
    <xf numFmtId="0" fontId="4" fillId="3" borderId="2" xfId="0" applyFont="1" applyFill="1" applyBorder="1" applyProtection="1"/>
    <xf numFmtId="0" fontId="4" fillId="3" borderId="3" xfId="0" applyFont="1" applyFill="1" applyBorder="1" applyProtection="1"/>
    <xf numFmtId="0" fontId="0" fillId="0" borderId="0" xfId="0" applyProtection="1">
      <protection locked="0"/>
    </xf>
    <xf numFmtId="0" fontId="7" fillId="0" borderId="0" xfId="0" applyFont="1" applyAlignment="1">
      <alignment vertical="top"/>
    </xf>
    <xf numFmtId="0" fontId="8" fillId="0" borderId="4" xfId="0" applyFont="1" applyBorder="1" applyAlignment="1">
      <alignment horizontal="center"/>
    </xf>
    <xf numFmtId="0" fontId="8" fillId="0" borderId="0" xfId="0" applyFont="1"/>
    <xf numFmtId="0" fontId="23" fillId="0" borderId="0" xfId="0" applyFont="1"/>
    <xf numFmtId="0" fontId="16" fillId="0" borderId="4" xfId="0" applyFont="1" applyBorder="1"/>
    <xf numFmtId="165" fontId="16" fillId="0" borderId="4" xfId="0" applyNumberFormat="1" applyFont="1" applyBorder="1"/>
    <xf numFmtId="0" fontId="16" fillId="0" borderId="4" xfId="0" applyFont="1" applyBorder="1" applyAlignment="1">
      <alignment horizontal="center"/>
    </xf>
    <xf numFmtId="165" fontId="16" fillId="0" borderId="4" xfId="0" applyNumberFormat="1" applyFont="1" applyBorder="1" applyAlignment="1">
      <alignment horizontal="center"/>
    </xf>
    <xf numFmtId="165" fontId="16" fillId="0" borderId="5" xfId="0" applyNumberFormat="1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6" fillId="0" borderId="6" xfId="0" applyFont="1" applyBorder="1"/>
    <xf numFmtId="0" fontId="16" fillId="0" borderId="7" xfId="0" quotePrefix="1" applyFont="1" applyBorder="1" applyAlignment="1">
      <alignment horizontal="center"/>
    </xf>
    <xf numFmtId="0" fontId="16" fillId="0" borderId="8" xfId="0" applyFont="1" applyBorder="1" applyAlignment="1">
      <alignment horizontal="left"/>
    </xf>
    <xf numFmtId="0" fontId="24" fillId="0" borderId="4" xfId="0" applyFont="1" applyBorder="1" applyAlignment="1">
      <alignment horizontal="center"/>
    </xf>
    <xf numFmtId="0" fontId="16" fillId="0" borderId="5" xfId="0" applyFont="1" applyBorder="1"/>
    <xf numFmtId="0" fontId="0" fillId="0" borderId="4" xfId="0" applyBorder="1" applyAlignment="1">
      <alignment horizontal="center"/>
    </xf>
    <xf numFmtId="0" fontId="25" fillId="0" borderId="0" xfId="0" applyFont="1"/>
    <xf numFmtId="0" fontId="27" fillId="0" borderId="0" xfId="0" applyFont="1" applyAlignment="1">
      <alignment horizontal="right"/>
    </xf>
    <xf numFmtId="0" fontId="0" fillId="0" borderId="0" xfId="0" applyBorder="1"/>
    <xf numFmtId="164" fontId="8" fillId="0" borderId="4" xfId="0" applyNumberFormat="1" applyFont="1" applyBorder="1" applyAlignment="1">
      <alignment horizontal="center"/>
    </xf>
    <xf numFmtId="0" fontId="19" fillId="0" borderId="9" xfId="0" applyFont="1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horizontal="left"/>
    </xf>
    <xf numFmtId="0" fontId="0" fillId="0" borderId="13" xfId="0" applyBorder="1"/>
    <xf numFmtId="0" fontId="0" fillId="0" borderId="12" xfId="0" applyBorder="1"/>
    <xf numFmtId="0" fontId="17" fillId="0" borderId="0" xfId="0" applyFont="1" applyBorder="1" applyAlignment="1">
      <alignment vertic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19" fillId="0" borderId="12" xfId="0" applyFont="1" applyBorder="1"/>
    <xf numFmtId="0" fontId="0" fillId="0" borderId="0" xfId="0" applyBorder="1" applyAlignment="1">
      <alignment horizontal="right"/>
    </xf>
    <xf numFmtId="0" fontId="23" fillId="0" borderId="9" xfId="0" applyFont="1" applyBorder="1"/>
    <xf numFmtId="0" fontId="8" fillId="3" borderId="17" xfId="0" applyFont="1" applyFill="1" applyBorder="1" applyProtection="1"/>
    <xf numFmtId="0" fontId="9" fillId="3" borderId="18" xfId="0" applyFont="1" applyFill="1" applyBorder="1" applyProtection="1">
      <protection locked="0"/>
    </xf>
    <xf numFmtId="0" fontId="4" fillId="3" borderId="18" xfId="0" applyFont="1" applyFill="1" applyBorder="1" applyProtection="1">
      <protection locked="0"/>
    </xf>
    <xf numFmtId="0" fontId="4" fillId="3" borderId="19" xfId="0" applyFont="1" applyFill="1" applyBorder="1" applyProtection="1">
      <protection locked="0"/>
    </xf>
    <xf numFmtId="0" fontId="0" fillId="0" borderId="0" xfId="0" applyBorder="1" applyAlignment="1">
      <alignment horizontal="center"/>
    </xf>
    <xf numFmtId="0" fontId="3" fillId="0" borderId="12" xfId="0" applyFont="1" applyBorder="1" applyAlignment="1">
      <alignment horizontal="right"/>
    </xf>
    <xf numFmtId="0" fontId="2" fillId="0" borderId="12" xfId="0" applyFont="1" applyBorder="1"/>
    <xf numFmtId="0" fontId="27" fillId="0" borderId="0" xfId="0" applyFont="1" applyBorder="1" applyAlignment="1">
      <alignment horizontal="right"/>
    </xf>
    <xf numFmtId="0" fontId="10" fillId="0" borderId="0" xfId="0" applyFont="1" applyBorder="1"/>
    <xf numFmtId="0" fontId="26" fillId="0" borderId="4" xfId="0" applyFont="1" applyBorder="1" applyAlignment="1">
      <alignment horizontal="center"/>
    </xf>
    <xf numFmtId="0" fontId="26" fillId="0" borderId="0" xfId="0" applyFont="1" applyAlignment="1">
      <alignment horizontal="right"/>
    </xf>
    <xf numFmtId="0" fontId="26" fillId="0" borderId="0" xfId="0" applyFont="1" applyAlignment="1">
      <alignment horizontal="center"/>
    </xf>
    <xf numFmtId="0" fontId="24" fillId="0" borderId="0" xfId="0" applyFont="1" applyAlignment="1">
      <alignment horizontal="right"/>
    </xf>
    <xf numFmtId="0" fontId="2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/>
    <xf numFmtId="0" fontId="0" fillId="4" borderId="2" xfId="0" applyFill="1" applyBorder="1"/>
    <xf numFmtId="0" fontId="0" fillId="4" borderId="3" xfId="0" applyFill="1" applyBorder="1"/>
    <xf numFmtId="0" fontId="24" fillId="0" borderId="12" xfId="0" applyFont="1" applyBorder="1" applyAlignment="1">
      <alignment horizontal="right"/>
    </xf>
    <xf numFmtId="165" fontId="31" fillId="0" borderId="4" xfId="0" applyNumberFormat="1" applyFont="1" applyBorder="1"/>
    <xf numFmtId="0" fontId="31" fillId="0" borderId="4" xfId="0" applyFont="1" applyBorder="1"/>
    <xf numFmtId="165" fontId="0" fillId="0" borderId="0" xfId="0" applyNumberFormat="1" applyAlignment="1">
      <alignment horizontal="center"/>
    </xf>
    <xf numFmtId="0" fontId="8" fillId="3" borderId="1" xfId="0" applyFont="1" applyFill="1" applyBorder="1" applyAlignment="1" applyProtection="1">
      <alignment horizontal="left"/>
    </xf>
    <xf numFmtId="0" fontId="8" fillId="3" borderId="2" xfId="0" applyFont="1" applyFill="1" applyBorder="1" applyAlignment="1" applyProtection="1">
      <alignment horizontal="left"/>
    </xf>
    <xf numFmtId="0" fontId="8" fillId="3" borderId="3" xfId="0" applyFont="1" applyFill="1" applyBorder="1" applyAlignment="1" applyProtection="1">
      <alignment horizontal="left"/>
    </xf>
    <xf numFmtId="0" fontId="0" fillId="0" borderId="20" xfId="0" applyBorder="1" applyAlignment="1">
      <alignment vertical="top" wrapText="1"/>
    </xf>
    <xf numFmtId="1" fontId="0" fillId="0" borderId="0" xfId="0" applyNumberForma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Residual Plot</a:t>
            </a:r>
          </a:p>
        </c:rich>
      </c:tx>
      <c:layout>
        <c:manualLayout>
          <c:xMode val="edge"/>
          <c:yMode val="edge"/>
          <c:x val="0.40563991323210413"/>
          <c:y val="1.742160278745644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629067245119306"/>
          <c:y val="0.10801393728222997"/>
          <c:w val="0.87418655097613884"/>
          <c:h val="0.80836236933797911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[0]!X_Axis</c:f>
              <c:numCache>
                <c:formatCode>General</c:formatCode>
                <c:ptCount val="200"/>
                <c:pt idx="0">
                  <c:v>13500</c:v>
                </c:pt>
                <c:pt idx="1">
                  <c:v>13750</c:v>
                </c:pt>
                <c:pt idx="2">
                  <c:v>13950</c:v>
                </c:pt>
                <c:pt idx="3">
                  <c:v>14950</c:v>
                </c:pt>
                <c:pt idx="4">
                  <c:v>13750</c:v>
                </c:pt>
                <c:pt idx="5">
                  <c:v>12950</c:v>
                </c:pt>
                <c:pt idx="6">
                  <c:v>16900</c:v>
                </c:pt>
                <c:pt idx="7">
                  <c:v>18600</c:v>
                </c:pt>
                <c:pt idx="8">
                  <c:v>21500</c:v>
                </c:pt>
                <c:pt idx="9">
                  <c:v>12950</c:v>
                </c:pt>
                <c:pt idx="10">
                  <c:v>20950</c:v>
                </c:pt>
                <c:pt idx="11">
                  <c:v>19950</c:v>
                </c:pt>
                <c:pt idx="12">
                  <c:v>19600</c:v>
                </c:pt>
                <c:pt idx="13">
                  <c:v>21500</c:v>
                </c:pt>
                <c:pt idx="14">
                  <c:v>22500</c:v>
                </c:pt>
                <c:pt idx="15">
                  <c:v>22000</c:v>
                </c:pt>
                <c:pt idx="16">
                  <c:v>22750</c:v>
                </c:pt>
                <c:pt idx="17">
                  <c:v>17950</c:v>
                </c:pt>
                <c:pt idx="18">
                  <c:v>16750</c:v>
                </c:pt>
                <c:pt idx="19">
                  <c:v>16950</c:v>
                </c:pt>
                <c:pt idx="20">
                  <c:v>15950</c:v>
                </c:pt>
                <c:pt idx="21">
                  <c:v>16950</c:v>
                </c:pt>
                <c:pt idx="22">
                  <c:v>15950</c:v>
                </c:pt>
                <c:pt idx="23">
                  <c:v>16950</c:v>
                </c:pt>
                <c:pt idx="24">
                  <c:v>16250</c:v>
                </c:pt>
                <c:pt idx="25">
                  <c:v>15950</c:v>
                </c:pt>
                <c:pt idx="26">
                  <c:v>17495</c:v>
                </c:pt>
                <c:pt idx="27">
                  <c:v>15750</c:v>
                </c:pt>
                <c:pt idx="28">
                  <c:v>16950</c:v>
                </c:pt>
                <c:pt idx="29">
                  <c:v>17950</c:v>
                </c:pt>
                <c:pt idx="30">
                  <c:v>12950</c:v>
                </c:pt>
                <c:pt idx="31">
                  <c:v>15750</c:v>
                </c:pt>
                <c:pt idx="32">
                  <c:v>15950</c:v>
                </c:pt>
                <c:pt idx="33">
                  <c:v>14950</c:v>
                </c:pt>
                <c:pt idx="34">
                  <c:v>15500</c:v>
                </c:pt>
                <c:pt idx="35">
                  <c:v>15750</c:v>
                </c:pt>
                <c:pt idx="36">
                  <c:v>15950</c:v>
                </c:pt>
                <c:pt idx="37">
                  <c:v>14950</c:v>
                </c:pt>
                <c:pt idx="38">
                  <c:v>15750</c:v>
                </c:pt>
                <c:pt idx="39">
                  <c:v>14750</c:v>
                </c:pt>
                <c:pt idx="40">
                  <c:v>13950</c:v>
                </c:pt>
                <c:pt idx="41">
                  <c:v>16750</c:v>
                </c:pt>
                <c:pt idx="42">
                  <c:v>13950</c:v>
                </c:pt>
                <c:pt idx="43">
                  <c:v>16950</c:v>
                </c:pt>
                <c:pt idx="44">
                  <c:v>16950</c:v>
                </c:pt>
                <c:pt idx="45">
                  <c:v>19000</c:v>
                </c:pt>
                <c:pt idx="46">
                  <c:v>17950</c:v>
                </c:pt>
                <c:pt idx="47">
                  <c:v>15800</c:v>
                </c:pt>
                <c:pt idx="48">
                  <c:v>17950</c:v>
                </c:pt>
                <c:pt idx="49">
                  <c:v>21950</c:v>
                </c:pt>
                <c:pt idx="50">
                  <c:v>17950</c:v>
                </c:pt>
                <c:pt idx="51">
                  <c:v>15750</c:v>
                </c:pt>
                <c:pt idx="52">
                  <c:v>20500</c:v>
                </c:pt>
                <c:pt idx="53">
                  <c:v>21950</c:v>
                </c:pt>
                <c:pt idx="54">
                  <c:v>15500</c:v>
                </c:pt>
                <c:pt idx="55">
                  <c:v>13250</c:v>
                </c:pt>
                <c:pt idx="56">
                  <c:v>15250</c:v>
                </c:pt>
                <c:pt idx="57">
                  <c:v>15250</c:v>
                </c:pt>
                <c:pt idx="58">
                  <c:v>18950</c:v>
                </c:pt>
                <c:pt idx="59">
                  <c:v>15999</c:v>
                </c:pt>
                <c:pt idx="60">
                  <c:v>14950</c:v>
                </c:pt>
                <c:pt idx="61">
                  <c:v>16500</c:v>
                </c:pt>
                <c:pt idx="62">
                  <c:v>18750</c:v>
                </c:pt>
                <c:pt idx="63">
                  <c:v>17950</c:v>
                </c:pt>
                <c:pt idx="64">
                  <c:v>17950</c:v>
                </c:pt>
                <c:pt idx="65">
                  <c:v>16950</c:v>
                </c:pt>
                <c:pt idx="66">
                  <c:v>18950</c:v>
                </c:pt>
                <c:pt idx="67">
                  <c:v>14950</c:v>
                </c:pt>
                <c:pt idx="68">
                  <c:v>22250</c:v>
                </c:pt>
                <c:pt idx="69">
                  <c:v>15950</c:v>
                </c:pt>
                <c:pt idx="70">
                  <c:v>15950</c:v>
                </c:pt>
                <c:pt idx="71">
                  <c:v>12995</c:v>
                </c:pt>
                <c:pt idx="72">
                  <c:v>18950</c:v>
                </c:pt>
                <c:pt idx="73">
                  <c:v>15750</c:v>
                </c:pt>
                <c:pt idx="74">
                  <c:v>19950</c:v>
                </c:pt>
                <c:pt idx="75">
                  <c:v>16950</c:v>
                </c:pt>
                <c:pt idx="76">
                  <c:v>18750</c:v>
                </c:pt>
                <c:pt idx="77">
                  <c:v>18450</c:v>
                </c:pt>
                <c:pt idx="78">
                  <c:v>16895</c:v>
                </c:pt>
                <c:pt idx="79">
                  <c:v>14900</c:v>
                </c:pt>
                <c:pt idx="80">
                  <c:v>18950</c:v>
                </c:pt>
                <c:pt idx="81">
                  <c:v>17250</c:v>
                </c:pt>
                <c:pt idx="82">
                  <c:v>15450</c:v>
                </c:pt>
                <c:pt idx="83">
                  <c:v>17950</c:v>
                </c:pt>
                <c:pt idx="84">
                  <c:v>16650</c:v>
                </c:pt>
                <c:pt idx="85">
                  <c:v>17450</c:v>
                </c:pt>
                <c:pt idx="86">
                  <c:v>14900</c:v>
                </c:pt>
                <c:pt idx="87">
                  <c:v>17950</c:v>
                </c:pt>
                <c:pt idx="88">
                  <c:v>15950</c:v>
                </c:pt>
                <c:pt idx="89">
                  <c:v>21950</c:v>
                </c:pt>
                <c:pt idx="90">
                  <c:v>16450</c:v>
                </c:pt>
                <c:pt idx="91">
                  <c:v>22250</c:v>
                </c:pt>
                <c:pt idx="92">
                  <c:v>19950</c:v>
                </c:pt>
                <c:pt idx="93">
                  <c:v>15950</c:v>
                </c:pt>
                <c:pt idx="94">
                  <c:v>18900</c:v>
                </c:pt>
                <c:pt idx="95">
                  <c:v>19950</c:v>
                </c:pt>
                <c:pt idx="96">
                  <c:v>15950</c:v>
                </c:pt>
                <c:pt idx="97">
                  <c:v>15950</c:v>
                </c:pt>
                <c:pt idx="98">
                  <c:v>18750</c:v>
                </c:pt>
                <c:pt idx="99">
                  <c:v>17450</c:v>
                </c:pt>
              </c:numCache>
            </c:numRef>
          </c:xVal>
          <c:yVal>
            <c:numRef>
              <c:f>[0]!Errors</c:f>
              <c:numCache>
                <c:formatCode>General</c:formatCode>
                <c:ptCount val="199"/>
                <c:pt idx="0">
                  <c:v>-2120.2563485449573</c:v>
                </c:pt>
                <c:pt idx="1">
                  <c:v>-1653.132727798009</c:v>
                </c:pt>
                <c:pt idx="2">
                  <c:v>-1611.7910124739938</c:v>
                </c:pt>
                <c:pt idx="3">
                  <c:v>158.61741794307272</c:v>
                </c:pt>
                <c:pt idx="4">
                  <c:v>-710.46779086680544</c:v>
                </c:pt>
                <c:pt idx="5">
                  <c:v>-1117.018461806585</c:v>
                </c:pt>
                <c:pt idx="6">
                  <c:v>2088.6132019527158</c:v>
                </c:pt>
                <c:pt idx="7">
                  <c:v>3939.7625817919507</c:v>
                </c:pt>
                <c:pt idx="8">
                  <c:v>-239.68440988840302</c:v>
                </c:pt>
                <c:pt idx="9">
                  <c:v>-552.6851127104128</c:v>
                </c:pt>
                <c:pt idx="10">
                  <c:v>-896.48303684037819</c:v>
                </c:pt>
                <c:pt idx="11">
                  <c:v>-2102.6349477108051</c:v>
                </c:pt>
                <c:pt idx="12">
                  <c:v>-2240.3920963793644</c:v>
                </c:pt>
                <c:pt idx="13">
                  <c:v>-314.26745345144809</c:v>
                </c:pt>
                <c:pt idx="14">
                  <c:v>881.46157658022639</c:v>
                </c:pt>
                <c:pt idx="15">
                  <c:v>354.87476841994066</c:v>
                </c:pt>
                <c:pt idx="16">
                  <c:v>925.16643319641662</c:v>
                </c:pt>
                <c:pt idx="17">
                  <c:v>884.81446068701553</c:v>
                </c:pt>
                <c:pt idx="18">
                  <c:v>229.59235842712951</c:v>
                </c:pt>
                <c:pt idx="19">
                  <c:v>857.19197116516261</c:v>
                </c:pt>
                <c:pt idx="20">
                  <c:v>-115.1896298488391</c:v>
                </c:pt>
                <c:pt idx="21">
                  <c:v>-202.74007155682921</c:v>
                </c:pt>
                <c:pt idx="22">
                  <c:v>-415.02421602679533</c:v>
                </c:pt>
                <c:pt idx="23">
                  <c:v>383.09624773170799</c:v>
                </c:pt>
                <c:pt idx="24">
                  <c:v>-267.90949394714698</c:v>
                </c:pt>
                <c:pt idx="25">
                  <c:v>-956.24478566466496</c:v>
                </c:pt>
                <c:pt idx="26">
                  <c:v>844.94921611130485</c:v>
                </c:pt>
                <c:pt idx="27">
                  <c:v>-637.37260785821491</c:v>
                </c:pt>
                <c:pt idx="28">
                  <c:v>995.43505786562673</c:v>
                </c:pt>
                <c:pt idx="29">
                  <c:v>1411.5074829539481</c:v>
                </c:pt>
                <c:pt idx="30">
                  <c:v>-2833.83657768581</c:v>
                </c:pt>
                <c:pt idx="31">
                  <c:v>-539.10990920810036</c:v>
                </c:pt>
                <c:pt idx="32">
                  <c:v>126.28984034526002</c:v>
                </c:pt>
                <c:pt idx="33">
                  <c:v>-949.68694955112005</c:v>
                </c:pt>
                <c:pt idx="34">
                  <c:v>-740.57481907850706</c:v>
                </c:pt>
                <c:pt idx="35">
                  <c:v>449.148044780497</c:v>
                </c:pt>
                <c:pt idx="36">
                  <c:v>395.94831416268789</c:v>
                </c:pt>
                <c:pt idx="37">
                  <c:v>-1447.3422348751119</c:v>
                </c:pt>
                <c:pt idx="38">
                  <c:v>404.30653799643187</c:v>
                </c:pt>
                <c:pt idx="39">
                  <c:v>-577.93588592583183</c:v>
                </c:pt>
                <c:pt idx="40">
                  <c:v>-1710.5564800996654</c:v>
                </c:pt>
                <c:pt idx="41">
                  <c:v>1048.0919162126283</c:v>
                </c:pt>
                <c:pt idx="42">
                  <c:v>-1728.1097673073691</c:v>
                </c:pt>
                <c:pt idx="43">
                  <c:v>2783.3310499769177</c:v>
                </c:pt>
                <c:pt idx="44">
                  <c:v>2185.3780453083837</c:v>
                </c:pt>
                <c:pt idx="45">
                  <c:v>4202.0191072589751</c:v>
                </c:pt>
                <c:pt idx="46">
                  <c:v>3011.1301527707474</c:v>
                </c:pt>
                <c:pt idx="47">
                  <c:v>-155.70621905569169</c:v>
                </c:pt>
                <c:pt idx="48">
                  <c:v>2438.2269774157794</c:v>
                </c:pt>
                <c:pt idx="49">
                  <c:v>486.9823575846749</c:v>
                </c:pt>
                <c:pt idx="50">
                  <c:v>2358.0825836299882</c:v>
                </c:pt>
                <c:pt idx="51">
                  <c:v>464.80797348737178</c:v>
                </c:pt>
                <c:pt idx="52">
                  <c:v>2628.064923635684</c:v>
                </c:pt>
                <c:pt idx="53">
                  <c:v>-49.886541281717655</c:v>
                </c:pt>
                <c:pt idx="54">
                  <c:v>-2019.1463042794021</c:v>
                </c:pt>
                <c:pt idx="55">
                  <c:v>-2793.5135691748328</c:v>
                </c:pt>
                <c:pt idx="56">
                  <c:v>156.10415560444562</c:v>
                </c:pt>
                <c:pt idx="57">
                  <c:v>-50.851955219502997</c:v>
                </c:pt>
                <c:pt idx="58">
                  <c:v>633.92290093345582</c:v>
                </c:pt>
                <c:pt idx="59">
                  <c:v>-306.39691094185582</c:v>
                </c:pt>
                <c:pt idx="60">
                  <c:v>-1320.694854325282</c:v>
                </c:pt>
                <c:pt idx="61">
                  <c:v>384.56160195563643</c:v>
                </c:pt>
                <c:pt idx="62">
                  <c:v>2527.0724198854969</c:v>
                </c:pt>
                <c:pt idx="63">
                  <c:v>1599.0967358061444</c:v>
                </c:pt>
                <c:pt idx="64">
                  <c:v>2153.8915059783449</c:v>
                </c:pt>
                <c:pt idx="65">
                  <c:v>177.57083858197802</c:v>
                </c:pt>
                <c:pt idx="66">
                  <c:v>2372.8303357184304</c:v>
                </c:pt>
                <c:pt idx="67">
                  <c:v>-1379.2615895273411</c:v>
                </c:pt>
                <c:pt idx="68">
                  <c:v>5048.9248996925344</c:v>
                </c:pt>
                <c:pt idx="69">
                  <c:v>-77.160633043024063</c:v>
                </c:pt>
                <c:pt idx="70">
                  <c:v>226.34592508614151</c:v>
                </c:pt>
                <c:pt idx="71">
                  <c:v>-2318.3227907897435</c:v>
                </c:pt>
                <c:pt idx="72">
                  <c:v>2354.62444774705</c:v>
                </c:pt>
                <c:pt idx="73">
                  <c:v>-494.84282308540787</c:v>
                </c:pt>
                <c:pt idx="74">
                  <c:v>3860.3801664896782</c:v>
                </c:pt>
                <c:pt idx="75">
                  <c:v>-165.20889883839482</c:v>
                </c:pt>
                <c:pt idx="76">
                  <c:v>2432.7130427985212</c:v>
                </c:pt>
                <c:pt idx="77">
                  <c:v>2220.0385346062376</c:v>
                </c:pt>
                <c:pt idx="78">
                  <c:v>349.99920768367156</c:v>
                </c:pt>
                <c:pt idx="79">
                  <c:v>-678.7452366982634</c:v>
                </c:pt>
                <c:pt idx="80">
                  <c:v>674.42398363669417</c:v>
                </c:pt>
                <c:pt idx="81">
                  <c:v>683.4550158057682</c:v>
                </c:pt>
                <c:pt idx="82">
                  <c:v>-683.55129087579371</c:v>
                </c:pt>
                <c:pt idx="83">
                  <c:v>258.38690625478921</c:v>
                </c:pt>
                <c:pt idx="84">
                  <c:v>503.1540602333389</c:v>
                </c:pt>
                <c:pt idx="85">
                  <c:v>684.94824919022722</c:v>
                </c:pt>
                <c:pt idx="86">
                  <c:v>-804.24538355981895</c:v>
                </c:pt>
                <c:pt idx="87">
                  <c:v>622.15403215720653</c:v>
                </c:pt>
                <c:pt idx="88">
                  <c:v>-2074.2677274331909</c:v>
                </c:pt>
                <c:pt idx="89">
                  <c:v>3041.5444473061361</c:v>
                </c:pt>
                <c:pt idx="90">
                  <c:v>-1503.2440099996129</c:v>
                </c:pt>
                <c:pt idx="91">
                  <c:v>4675.6215436623679</c:v>
                </c:pt>
                <c:pt idx="92">
                  <c:v>1939.8890298134756</c:v>
                </c:pt>
                <c:pt idx="93">
                  <c:v>-2126.9118547169892</c:v>
                </c:pt>
                <c:pt idx="94">
                  <c:v>454.83828401366554</c:v>
                </c:pt>
                <c:pt idx="95">
                  <c:v>2008.00951051632</c:v>
                </c:pt>
                <c:pt idx="96">
                  <c:v>-2262.0912472261953</c:v>
                </c:pt>
                <c:pt idx="97">
                  <c:v>-2291.2658480332757</c:v>
                </c:pt>
                <c:pt idx="98">
                  <c:v>-1192.6440708123446</c:v>
                </c:pt>
                <c:pt idx="99">
                  <c:v>-910.98362244913733</c:v>
                </c:pt>
                <c:pt idx="100">
                  <c:v>-40.333927662959468</c:v>
                </c:pt>
                <c:pt idx="101">
                  <c:v>-2047.7241807680584</c:v>
                </c:pt>
                <c:pt idx="102">
                  <c:v>1826.1634549820119</c:v>
                </c:pt>
                <c:pt idx="103">
                  <c:v>-1512.7317194962925</c:v>
                </c:pt>
                <c:pt idx="104">
                  <c:v>-1873.9731155509508</c:v>
                </c:pt>
                <c:pt idx="105">
                  <c:v>-1393.3393008140083</c:v>
                </c:pt>
                <c:pt idx="106">
                  <c:v>-943.61220160719677</c:v>
                </c:pt>
                <c:pt idx="107">
                  <c:v>-1129.8967129443699</c:v>
                </c:pt>
                <c:pt idx="108">
                  <c:v>-1214.1003508644608</c:v>
                </c:pt>
                <c:pt idx="109">
                  <c:v>10178.987134290299</c:v>
                </c:pt>
                <c:pt idx="110">
                  <c:v>8199.8541800352286</c:v>
                </c:pt>
                <c:pt idx="111">
                  <c:v>8453.9374888916391</c:v>
                </c:pt>
                <c:pt idx="112">
                  <c:v>2637.6692548316678</c:v>
                </c:pt>
                <c:pt idx="113">
                  <c:v>2637.6692548316678</c:v>
                </c:pt>
                <c:pt idx="114">
                  <c:v>507.85290193168839</c:v>
                </c:pt>
                <c:pt idx="115">
                  <c:v>4353.9194308801816</c:v>
                </c:pt>
                <c:pt idx="116">
                  <c:v>1354.4225116106354</c:v>
                </c:pt>
                <c:pt idx="117">
                  <c:v>-4224.9746466444667</c:v>
                </c:pt>
                <c:pt idx="118">
                  <c:v>1888.9717933270113</c:v>
                </c:pt>
                <c:pt idx="119">
                  <c:v>3197.4890100891971</c:v>
                </c:pt>
                <c:pt idx="120">
                  <c:v>-2.6271167404702283</c:v>
                </c:pt>
                <c:pt idx="121">
                  <c:v>2386.8004224231117</c:v>
                </c:pt>
                <c:pt idx="122">
                  <c:v>-3155.0782558056635</c:v>
                </c:pt>
                <c:pt idx="123">
                  <c:v>53.030895068590326</c:v>
                </c:pt>
                <c:pt idx="124">
                  <c:v>-1768.1382717223096</c:v>
                </c:pt>
                <c:pt idx="125">
                  <c:v>2416.5704803679</c:v>
                </c:pt>
                <c:pt idx="126">
                  <c:v>-2973.0313020963258</c:v>
                </c:pt>
                <c:pt idx="127">
                  <c:v>-1562.9311383566128</c:v>
                </c:pt>
                <c:pt idx="128">
                  <c:v>-431.27181384481446</c:v>
                </c:pt>
                <c:pt idx="129">
                  <c:v>-3812.3373074860465</c:v>
                </c:pt>
                <c:pt idx="130">
                  <c:v>-1832.7852615901102</c:v>
                </c:pt>
                <c:pt idx="131">
                  <c:v>-2156.4629559646601</c:v>
                </c:pt>
                <c:pt idx="132">
                  <c:v>-1962.0410471674477</c:v>
                </c:pt>
                <c:pt idx="133">
                  <c:v>-3746.690881020284</c:v>
                </c:pt>
                <c:pt idx="134">
                  <c:v>-1100.5399036928793</c:v>
                </c:pt>
                <c:pt idx="135">
                  <c:v>-1213.0037696201398</c:v>
                </c:pt>
                <c:pt idx="136">
                  <c:v>733.2312259740138</c:v>
                </c:pt>
                <c:pt idx="137">
                  <c:v>-3481.8392888179769</c:v>
                </c:pt>
                <c:pt idx="138">
                  <c:v>2660.7084180946113</c:v>
                </c:pt>
                <c:pt idx="139">
                  <c:v>868.20190395698955</c:v>
                </c:pt>
                <c:pt idx="140">
                  <c:v>-1716.7783265463222</c:v>
                </c:pt>
                <c:pt idx="141">
                  <c:v>-673.42980404235277</c:v>
                </c:pt>
                <c:pt idx="142">
                  <c:v>186.85260787829611</c:v>
                </c:pt>
                <c:pt idx="143">
                  <c:v>-962.03370345936492</c:v>
                </c:pt>
                <c:pt idx="144">
                  <c:v>-617.63689469152814</c:v>
                </c:pt>
                <c:pt idx="145">
                  <c:v>-1635.3597083175555</c:v>
                </c:pt>
                <c:pt idx="146">
                  <c:v>656.90138650704466</c:v>
                </c:pt>
                <c:pt idx="147">
                  <c:v>4724.8045937795869</c:v>
                </c:pt>
                <c:pt idx="148">
                  <c:v>789.10453057225823</c:v>
                </c:pt>
                <c:pt idx="149">
                  <c:v>-38.890720471419627</c:v>
                </c:pt>
                <c:pt idx="150">
                  <c:v>-1011.0213116532505</c:v>
                </c:pt>
                <c:pt idx="151">
                  <c:v>1278.3115179421657</c:v>
                </c:pt>
                <c:pt idx="152">
                  <c:v>-816.7436569459569</c:v>
                </c:pt>
                <c:pt idx="153">
                  <c:v>-430.95682281491099</c:v>
                </c:pt>
                <c:pt idx="154">
                  <c:v>1917.8275271044404</c:v>
                </c:pt>
                <c:pt idx="155">
                  <c:v>-1890.682224136126</c:v>
                </c:pt>
                <c:pt idx="156">
                  <c:v>-25.863078153153765</c:v>
                </c:pt>
                <c:pt idx="157">
                  <c:v>-1143.0441883015919</c:v>
                </c:pt>
                <c:pt idx="158">
                  <c:v>318.36143309689578</c:v>
                </c:pt>
                <c:pt idx="159">
                  <c:v>-572.48844509675109</c:v>
                </c:pt>
                <c:pt idx="160">
                  <c:v>-592.59643106802469</c:v>
                </c:pt>
                <c:pt idx="161">
                  <c:v>1814.2277402668369</c:v>
                </c:pt>
                <c:pt idx="162">
                  <c:v>-688.82167788804873</c:v>
                </c:pt>
                <c:pt idx="163">
                  <c:v>-285.44558389437952</c:v>
                </c:pt>
                <c:pt idx="164">
                  <c:v>-1577.6639102268782</c:v>
                </c:pt>
                <c:pt idx="165">
                  <c:v>672.96237128525536</c:v>
                </c:pt>
                <c:pt idx="166">
                  <c:v>155.84470591342688</c:v>
                </c:pt>
                <c:pt idx="167">
                  <c:v>-144.46144401136189</c:v>
                </c:pt>
                <c:pt idx="168">
                  <c:v>496.80529265157747</c:v>
                </c:pt>
                <c:pt idx="169">
                  <c:v>-1756.1566874674609</c:v>
                </c:pt>
                <c:pt idx="170">
                  <c:v>-2107.8183861109828</c:v>
                </c:pt>
                <c:pt idx="171">
                  <c:v>1819.6499820948266</c:v>
                </c:pt>
                <c:pt idx="172">
                  <c:v>-1569.6056200782368</c:v>
                </c:pt>
                <c:pt idx="173">
                  <c:v>-2120.2498541654604</c:v>
                </c:pt>
                <c:pt idx="174">
                  <c:v>9.5095702284124854</c:v>
                </c:pt>
                <c:pt idx="175">
                  <c:v>-2000.647574990915</c:v>
                </c:pt>
                <c:pt idx="176">
                  <c:v>-2501.2254303265654</c:v>
                </c:pt>
                <c:pt idx="177">
                  <c:v>-2122.6912854619404</c:v>
                </c:pt>
                <c:pt idx="178">
                  <c:v>-30.55007664979712</c:v>
                </c:pt>
                <c:pt idx="179">
                  <c:v>810.10875507580204</c:v>
                </c:pt>
                <c:pt idx="180">
                  <c:v>-3095.6583669976899</c:v>
                </c:pt>
                <c:pt idx="181">
                  <c:v>-2552.7511687179249</c:v>
                </c:pt>
                <c:pt idx="182">
                  <c:v>-642.63144284056762</c:v>
                </c:pt>
                <c:pt idx="183">
                  <c:v>-1137.8552850937813</c:v>
                </c:pt>
                <c:pt idx="184">
                  <c:v>-4143.910274304606</c:v>
                </c:pt>
                <c:pt idx="185">
                  <c:v>-4495.571972948128</c:v>
                </c:pt>
                <c:pt idx="186">
                  <c:v>-1495.823123937902</c:v>
                </c:pt>
                <c:pt idx="187">
                  <c:v>-1383.4915457224743</c:v>
                </c:pt>
                <c:pt idx="188">
                  <c:v>752.60699535316962</c:v>
                </c:pt>
                <c:pt idx="189">
                  <c:v>-3971.4892889695348</c:v>
                </c:pt>
                <c:pt idx="190">
                  <c:v>1997.7194499920734</c:v>
                </c:pt>
                <c:pt idx="191">
                  <c:v>-4701.7137319697249</c:v>
                </c:pt>
                <c:pt idx="192">
                  <c:v>-5040.5985235223816</c:v>
                </c:pt>
                <c:pt idx="193">
                  <c:v>1538.8712137518851</c:v>
                </c:pt>
                <c:pt idx="194">
                  <c:v>3085.9411364878215</c:v>
                </c:pt>
                <c:pt idx="195">
                  <c:v>-1407.041535736993</c:v>
                </c:pt>
                <c:pt idx="196">
                  <c:v>1931.4171681985608</c:v>
                </c:pt>
                <c:pt idx="197">
                  <c:v>2855.8646456972492</c:v>
                </c:pt>
                <c:pt idx="198">
                  <c:v>-2130.3109795143209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CD-42CA-996F-355BA9861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487808"/>
        <c:axId val="66496000"/>
      </c:scatterChart>
      <c:valAx>
        <c:axId val="66487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66496000"/>
        <c:crosses val="autoZero"/>
        <c:crossBetween val="midCat"/>
      </c:valAx>
      <c:valAx>
        <c:axId val="66496000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</a:t>
                </a:r>
              </a:p>
            </c:rich>
          </c:tx>
          <c:layout>
            <c:manualLayout>
              <c:xMode val="edge"/>
              <c:yMode val="edge"/>
              <c:x val="1.0845986984815618E-2"/>
              <c:y val="0.42508710801393729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66487808"/>
        <c:crosses val="autoZero"/>
        <c:crossBetween val="midCat"/>
      </c:valAx>
    </c:plotArea>
    <c:plotVisOnly val="0"/>
    <c:dispBlanksAs val="gap"/>
    <c:showDLblsOverMax val="0"/>
  </c:chart>
  <c:printSettings>
    <c:headerFooter alignWithMargins="0"/>
    <c:pageMargins b="1" l="0.75" r="0.75" t="1" header="0.5" footer="0.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Normal Probability Plot</a:t>
            </a:r>
          </a:p>
        </c:rich>
      </c:tx>
      <c:layout>
        <c:manualLayout>
          <c:xMode val="edge"/>
          <c:yMode val="edge"/>
          <c:x val="0.33622559652928419"/>
          <c:y val="3.52564102564102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8.6767895878524945E-2"/>
          <c:y val="0.10897470006604337"/>
          <c:w val="0.85900216919739691"/>
          <c:h val="0.77564345341124996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3"/>
          </c:marker>
          <c:xVal>
            <c:numRef>
              <c:f>[0]!Errors</c:f>
              <c:numCache>
                <c:formatCode>General</c:formatCode>
                <c:ptCount val="199"/>
                <c:pt idx="0">
                  <c:v>-2120.2563485449573</c:v>
                </c:pt>
                <c:pt idx="1">
                  <c:v>-1653.132727798009</c:v>
                </c:pt>
                <c:pt idx="2">
                  <c:v>-1611.7910124739938</c:v>
                </c:pt>
                <c:pt idx="3">
                  <c:v>158.61741794307272</c:v>
                </c:pt>
                <c:pt idx="4">
                  <c:v>-710.46779086680544</c:v>
                </c:pt>
                <c:pt idx="5">
                  <c:v>-1117.018461806585</c:v>
                </c:pt>
                <c:pt idx="6">
                  <c:v>2088.6132019527158</c:v>
                </c:pt>
                <c:pt idx="7">
                  <c:v>3939.7625817919507</c:v>
                </c:pt>
                <c:pt idx="8">
                  <c:v>-239.68440988840302</c:v>
                </c:pt>
                <c:pt idx="9">
                  <c:v>-552.6851127104128</c:v>
                </c:pt>
                <c:pt idx="10">
                  <c:v>-896.48303684037819</c:v>
                </c:pt>
                <c:pt idx="11">
                  <c:v>-2102.6349477108051</c:v>
                </c:pt>
                <c:pt idx="12">
                  <c:v>-2240.3920963793644</c:v>
                </c:pt>
                <c:pt idx="13">
                  <c:v>-314.26745345144809</c:v>
                </c:pt>
                <c:pt idx="14">
                  <c:v>881.46157658022639</c:v>
                </c:pt>
                <c:pt idx="15">
                  <c:v>354.87476841994066</c:v>
                </c:pt>
                <c:pt idx="16">
                  <c:v>925.16643319641662</c:v>
                </c:pt>
                <c:pt idx="17">
                  <c:v>884.81446068701553</c:v>
                </c:pt>
                <c:pt idx="18">
                  <c:v>229.59235842712951</c:v>
                </c:pt>
                <c:pt idx="19">
                  <c:v>857.19197116516261</c:v>
                </c:pt>
                <c:pt idx="20">
                  <c:v>-115.1896298488391</c:v>
                </c:pt>
                <c:pt idx="21">
                  <c:v>-202.74007155682921</c:v>
                </c:pt>
                <c:pt idx="22">
                  <c:v>-415.02421602679533</c:v>
                </c:pt>
                <c:pt idx="23">
                  <c:v>383.09624773170799</c:v>
                </c:pt>
                <c:pt idx="24">
                  <c:v>-267.90949394714698</c:v>
                </c:pt>
                <c:pt idx="25">
                  <c:v>-956.24478566466496</c:v>
                </c:pt>
                <c:pt idx="26">
                  <c:v>844.94921611130485</c:v>
                </c:pt>
                <c:pt idx="27">
                  <c:v>-637.37260785821491</c:v>
                </c:pt>
                <c:pt idx="28">
                  <c:v>995.43505786562673</c:v>
                </c:pt>
                <c:pt idx="29">
                  <c:v>1411.5074829539481</c:v>
                </c:pt>
                <c:pt idx="30">
                  <c:v>-2833.83657768581</c:v>
                </c:pt>
                <c:pt idx="31">
                  <c:v>-539.10990920810036</c:v>
                </c:pt>
                <c:pt idx="32">
                  <c:v>126.28984034526002</c:v>
                </c:pt>
                <c:pt idx="33">
                  <c:v>-949.68694955112005</c:v>
                </c:pt>
                <c:pt idx="34">
                  <c:v>-740.57481907850706</c:v>
                </c:pt>
                <c:pt idx="35">
                  <c:v>449.148044780497</c:v>
                </c:pt>
                <c:pt idx="36">
                  <c:v>395.94831416268789</c:v>
                </c:pt>
                <c:pt idx="37">
                  <c:v>-1447.3422348751119</c:v>
                </c:pt>
                <c:pt idx="38">
                  <c:v>404.30653799643187</c:v>
                </c:pt>
                <c:pt idx="39">
                  <c:v>-577.93588592583183</c:v>
                </c:pt>
                <c:pt idx="40">
                  <c:v>-1710.5564800996654</c:v>
                </c:pt>
                <c:pt idx="41">
                  <c:v>1048.0919162126283</c:v>
                </c:pt>
                <c:pt idx="42">
                  <c:v>-1728.1097673073691</c:v>
                </c:pt>
                <c:pt idx="43">
                  <c:v>2783.3310499769177</c:v>
                </c:pt>
                <c:pt idx="44">
                  <c:v>2185.3780453083837</c:v>
                </c:pt>
                <c:pt idx="45">
                  <c:v>4202.0191072589751</c:v>
                </c:pt>
                <c:pt idx="46">
                  <c:v>3011.1301527707474</c:v>
                </c:pt>
                <c:pt idx="47">
                  <c:v>-155.70621905569169</c:v>
                </c:pt>
                <c:pt idx="48">
                  <c:v>2438.2269774157794</c:v>
                </c:pt>
                <c:pt idx="49">
                  <c:v>486.9823575846749</c:v>
                </c:pt>
                <c:pt idx="50">
                  <c:v>2358.0825836299882</c:v>
                </c:pt>
                <c:pt idx="51">
                  <c:v>464.80797348737178</c:v>
                </c:pt>
                <c:pt idx="52">
                  <c:v>2628.064923635684</c:v>
                </c:pt>
                <c:pt idx="53">
                  <c:v>-49.886541281717655</c:v>
                </c:pt>
                <c:pt idx="54">
                  <c:v>-2019.1463042794021</c:v>
                </c:pt>
                <c:pt idx="55">
                  <c:v>-2793.5135691748328</c:v>
                </c:pt>
                <c:pt idx="56">
                  <c:v>156.10415560444562</c:v>
                </c:pt>
                <c:pt idx="57">
                  <c:v>-50.851955219502997</c:v>
                </c:pt>
                <c:pt idx="58">
                  <c:v>633.92290093345582</c:v>
                </c:pt>
                <c:pt idx="59">
                  <c:v>-306.39691094185582</c:v>
                </c:pt>
                <c:pt idx="60">
                  <c:v>-1320.694854325282</c:v>
                </c:pt>
                <c:pt idx="61">
                  <c:v>384.56160195563643</c:v>
                </c:pt>
                <c:pt idx="62">
                  <c:v>2527.0724198854969</c:v>
                </c:pt>
                <c:pt idx="63">
                  <c:v>1599.0967358061444</c:v>
                </c:pt>
                <c:pt idx="64">
                  <c:v>2153.8915059783449</c:v>
                </c:pt>
                <c:pt idx="65">
                  <c:v>177.57083858197802</c:v>
                </c:pt>
                <c:pt idx="66">
                  <c:v>2372.8303357184304</c:v>
                </c:pt>
                <c:pt idx="67">
                  <c:v>-1379.2615895273411</c:v>
                </c:pt>
                <c:pt idx="68">
                  <c:v>5048.9248996925344</c:v>
                </c:pt>
                <c:pt idx="69">
                  <c:v>-77.160633043024063</c:v>
                </c:pt>
                <c:pt idx="70">
                  <c:v>226.34592508614151</c:v>
                </c:pt>
                <c:pt idx="71">
                  <c:v>-2318.3227907897435</c:v>
                </c:pt>
                <c:pt idx="72">
                  <c:v>2354.62444774705</c:v>
                </c:pt>
                <c:pt idx="73">
                  <c:v>-494.84282308540787</c:v>
                </c:pt>
                <c:pt idx="74">
                  <c:v>3860.3801664896782</c:v>
                </c:pt>
                <c:pt idx="75">
                  <c:v>-165.20889883839482</c:v>
                </c:pt>
                <c:pt idx="76">
                  <c:v>2432.7130427985212</c:v>
                </c:pt>
                <c:pt idx="77">
                  <c:v>2220.0385346062376</c:v>
                </c:pt>
                <c:pt idx="78">
                  <c:v>349.99920768367156</c:v>
                </c:pt>
                <c:pt idx="79">
                  <c:v>-678.7452366982634</c:v>
                </c:pt>
                <c:pt idx="80">
                  <c:v>674.42398363669417</c:v>
                </c:pt>
                <c:pt idx="81">
                  <c:v>683.4550158057682</c:v>
                </c:pt>
                <c:pt idx="82">
                  <c:v>-683.55129087579371</c:v>
                </c:pt>
                <c:pt idx="83">
                  <c:v>258.38690625478921</c:v>
                </c:pt>
                <c:pt idx="84">
                  <c:v>503.1540602333389</c:v>
                </c:pt>
                <c:pt idx="85">
                  <c:v>684.94824919022722</c:v>
                </c:pt>
                <c:pt idx="86">
                  <c:v>-804.24538355981895</c:v>
                </c:pt>
                <c:pt idx="87">
                  <c:v>622.15403215720653</c:v>
                </c:pt>
                <c:pt idx="88">
                  <c:v>-2074.2677274331909</c:v>
                </c:pt>
                <c:pt idx="89">
                  <c:v>3041.5444473061361</c:v>
                </c:pt>
                <c:pt idx="90">
                  <c:v>-1503.2440099996129</c:v>
                </c:pt>
                <c:pt idx="91">
                  <c:v>4675.6215436623679</c:v>
                </c:pt>
                <c:pt idx="92">
                  <c:v>1939.8890298134756</c:v>
                </c:pt>
                <c:pt idx="93">
                  <c:v>-2126.9118547169892</c:v>
                </c:pt>
                <c:pt idx="94">
                  <c:v>454.83828401366554</c:v>
                </c:pt>
                <c:pt idx="95">
                  <c:v>2008.00951051632</c:v>
                </c:pt>
                <c:pt idx="96">
                  <c:v>-2262.0912472261953</c:v>
                </c:pt>
                <c:pt idx="97">
                  <c:v>-2291.2658480332757</c:v>
                </c:pt>
                <c:pt idx="98">
                  <c:v>-1192.6440708123446</c:v>
                </c:pt>
                <c:pt idx="99">
                  <c:v>-910.98362244913733</c:v>
                </c:pt>
                <c:pt idx="100">
                  <c:v>-40.333927662959468</c:v>
                </c:pt>
                <c:pt idx="101">
                  <c:v>-2047.7241807680584</c:v>
                </c:pt>
                <c:pt idx="102">
                  <c:v>1826.1634549820119</c:v>
                </c:pt>
                <c:pt idx="103">
                  <c:v>-1512.7317194962925</c:v>
                </c:pt>
                <c:pt idx="104">
                  <c:v>-1873.9731155509508</c:v>
                </c:pt>
                <c:pt idx="105">
                  <c:v>-1393.3393008140083</c:v>
                </c:pt>
                <c:pt idx="106">
                  <c:v>-943.61220160719677</c:v>
                </c:pt>
                <c:pt idx="107">
                  <c:v>-1129.8967129443699</c:v>
                </c:pt>
                <c:pt idx="108">
                  <c:v>-1214.1003508644608</c:v>
                </c:pt>
                <c:pt idx="109">
                  <c:v>10178.987134290299</c:v>
                </c:pt>
                <c:pt idx="110">
                  <c:v>8199.8541800352286</c:v>
                </c:pt>
                <c:pt idx="111">
                  <c:v>8453.9374888916391</c:v>
                </c:pt>
                <c:pt idx="112">
                  <c:v>2637.6692548316678</c:v>
                </c:pt>
                <c:pt idx="113">
                  <c:v>2637.6692548316678</c:v>
                </c:pt>
                <c:pt idx="114">
                  <c:v>507.85290193168839</c:v>
                </c:pt>
                <c:pt idx="115">
                  <c:v>4353.9194308801816</c:v>
                </c:pt>
                <c:pt idx="116">
                  <c:v>1354.4225116106354</c:v>
                </c:pt>
                <c:pt idx="117">
                  <c:v>-4224.9746466444667</c:v>
                </c:pt>
                <c:pt idx="118">
                  <c:v>1888.9717933270113</c:v>
                </c:pt>
                <c:pt idx="119">
                  <c:v>3197.4890100891971</c:v>
                </c:pt>
                <c:pt idx="120">
                  <c:v>-2.6271167404702283</c:v>
                </c:pt>
                <c:pt idx="121">
                  <c:v>2386.8004224231117</c:v>
                </c:pt>
                <c:pt idx="122">
                  <c:v>-3155.0782558056635</c:v>
                </c:pt>
                <c:pt idx="123">
                  <c:v>53.030895068590326</c:v>
                </c:pt>
                <c:pt idx="124">
                  <c:v>-1768.1382717223096</c:v>
                </c:pt>
                <c:pt idx="125">
                  <c:v>2416.5704803679</c:v>
                </c:pt>
                <c:pt idx="126">
                  <c:v>-2973.0313020963258</c:v>
                </c:pt>
                <c:pt idx="127">
                  <c:v>-1562.9311383566128</c:v>
                </c:pt>
                <c:pt idx="128">
                  <c:v>-431.27181384481446</c:v>
                </c:pt>
                <c:pt idx="129">
                  <c:v>-3812.3373074860465</c:v>
                </c:pt>
                <c:pt idx="130">
                  <c:v>-1832.7852615901102</c:v>
                </c:pt>
                <c:pt idx="131">
                  <c:v>-2156.4629559646601</c:v>
                </c:pt>
                <c:pt idx="132">
                  <c:v>-1962.0410471674477</c:v>
                </c:pt>
                <c:pt idx="133">
                  <c:v>-3746.690881020284</c:v>
                </c:pt>
                <c:pt idx="134">
                  <c:v>-1100.5399036928793</c:v>
                </c:pt>
                <c:pt idx="135">
                  <c:v>-1213.0037696201398</c:v>
                </c:pt>
                <c:pt idx="136">
                  <c:v>733.2312259740138</c:v>
                </c:pt>
                <c:pt idx="137">
                  <c:v>-3481.8392888179769</c:v>
                </c:pt>
                <c:pt idx="138">
                  <c:v>2660.7084180946113</c:v>
                </c:pt>
                <c:pt idx="139">
                  <c:v>868.20190395698955</c:v>
                </c:pt>
                <c:pt idx="140">
                  <c:v>-1716.7783265463222</c:v>
                </c:pt>
                <c:pt idx="141">
                  <c:v>-673.42980404235277</c:v>
                </c:pt>
                <c:pt idx="142">
                  <c:v>186.85260787829611</c:v>
                </c:pt>
                <c:pt idx="143">
                  <c:v>-962.03370345936492</c:v>
                </c:pt>
                <c:pt idx="144">
                  <c:v>-617.63689469152814</c:v>
                </c:pt>
                <c:pt idx="145">
                  <c:v>-1635.3597083175555</c:v>
                </c:pt>
                <c:pt idx="146">
                  <c:v>656.90138650704466</c:v>
                </c:pt>
                <c:pt idx="147">
                  <c:v>4724.8045937795869</c:v>
                </c:pt>
                <c:pt idx="148">
                  <c:v>789.10453057225823</c:v>
                </c:pt>
                <c:pt idx="149">
                  <c:v>-38.890720471419627</c:v>
                </c:pt>
                <c:pt idx="150">
                  <c:v>-1011.0213116532505</c:v>
                </c:pt>
                <c:pt idx="151">
                  <c:v>1278.3115179421657</c:v>
                </c:pt>
                <c:pt idx="152">
                  <c:v>-816.7436569459569</c:v>
                </c:pt>
                <c:pt idx="153">
                  <c:v>-430.95682281491099</c:v>
                </c:pt>
                <c:pt idx="154">
                  <c:v>1917.8275271044404</c:v>
                </c:pt>
                <c:pt idx="155">
                  <c:v>-1890.682224136126</c:v>
                </c:pt>
                <c:pt idx="156">
                  <c:v>-25.863078153153765</c:v>
                </c:pt>
                <c:pt idx="157">
                  <c:v>-1143.0441883015919</c:v>
                </c:pt>
                <c:pt idx="158">
                  <c:v>318.36143309689578</c:v>
                </c:pt>
                <c:pt idx="159">
                  <c:v>-572.48844509675109</c:v>
                </c:pt>
                <c:pt idx="160">
                  <c:v>-592.59643106802469</c:v>
                </c:pt>
                <c:pt idx="161">
                  <c:v>1814.2277402668369</c:v>
                </c:pt>
                <c:pt idx="162">
                  <c:v>-688.82167788804873</c:v>
                </c:pt>
                <c:pt idx="163">
                  <c:v>-285.44558389437952</c:v>
                </c:pt>
                <c:pt idx="164">
                  <c:v>-1577.6639102268782</c:v>
                </c:pt>
                <c:pt idx="165">
                  <c:v>672.96237128525536</c:v>
                </c:pt>
                <c:pt idx="166">
                  <c:v>155.84470591342688</c:v>
                </c:pt>
                <c:pt idx="167">
                  <c:v>-144.46144401136189</c:v>
                </c:pt>
                <c:pt idx="168">
                  <c:v>496.80529265157747</c:v>
                </c:pt>
                <c:pt idx="169">
                  <c:v>-1756.1566874674609</c:v>
                </c:pt>
                <c:pt idx="170">
                  <c:v>-2107.8183861109828</c:v>
                </c:pt>
                <c:pt idx="171">
                  <c:v>1819.6499820948266</c:v>
                </c:pt>
                <c:pt idx="172">
                  <c:v>-1569.6056200782368</c:v>
                </c:pt>
                <c:pt idx="173">
                  <c:v>-2120.2498541654604</c:v>
                </c:pt>
                <c:pt idx="174">
                  <c:v>9.5095702284124854</c:v>
                </c:pt>
                <c:pt idx="175">
                  <c:v>-2000.647574990915</c:v>
                </c:pt>
                <c:pt idx="176">
                  <c:v>-2501.2254303265654</c:v>
                </c:pt>
                <c:pt idx="177">
                  <c:v>-2122.6912854619404</c:v>
                </c:pt>
                <c:pt idx="178">
                  <c:v>-30.55007664979712</c:v>
                </c:pt>
                <c:pt idx="179">
                  <c:v>810.10875507580204</c:v>
                </c:pt>
                <c:pt idx="180">
                  <c:v>-3095.6583669976899</c:v>
                </c:pt>
                <c:pt idx="181">
                  <c:v>-2552.7511687179249</c:v>
                </c:pt>
                <c:pt idx="182">
                  <c:v>-642.63144284056762</c:v>
                </c:pt>
                <c:pt idx="183">
                  <c:v>-1137.8552850937813</c:v>
                </c:pt>
                <c:pt idx="184">
                  <c:v>-4143.910274304606</c:v>
                </c:pt>
                <c:pt idx="185">
                  <c:v>-4495.571972948128</c:v>
                </c:pt>
                <c:pt idx="186">
                  <c:v>-1495.823123937902</c:v>
                </c:pt>
                <c:pt idx="187">
                  <c:v>-1383.4915457224743</c:v>
                </c:pt>
                <c:pt idx="188">
                  <c:v>752.60699535316962</c:v>
                </c:pt>
                <c:pt idx="189">
                  <c:v>-3971.4892889695348</c:v>
                </c:pt>
                <c:pt idx="190">
                  <c:v>1997.7194499920734</c:v>
                </c:pt>
                <c:pt idx="191">
                  <c:v>-4701.7137319697249</c:v>
                </c:pt>
                <c:pt idx="192">
                  <c:v>-5040.5985235223816</c:v>
                </c:pt>
                <c:pt idx="193">
                  <c:v>1538.8712137518851</c:v>
                </c:pt>
                <c:pt idx="194">
                  <c:v>3085.9411364878215</c:v>
                </c:pt>
                <c:pt idx="195">
                  <c:v>-1407.041535736993</c:v>
                </c:pt>
                <c:pt idx="196">
                  <c:v>1931.4171681985608</c:v>
                </c:pt>
                <c:pt idx="197">
                  <c:v>2855.8646456972492</c:v>
                </c:pt>
                <c:pt idx="198">
                  <c:v>-2130.3109795143209</c:v>
                </c:pt>
              </c:numCache>
            </c:numRef>
          </c:xVal>
          <c:yVal>
            <c:numRef>
              <c:f>[0]!Z</c:f>
              <c:numCache>
                <c:formatCode>0.000</c:formatCode>
                <c:ptCount val="199"/>
                <c:pt idx="0">
                  <c:v>-1.1503493803760083</c:v>
                </c:pt>
                <c:pt idx="1">
                  <c:v>-0.80642124701824058</c:v>
                </c:pt>
                <c:pt idx="2">
                  <c:v>-0.77219321418868503</c:v>
                </c:pt>
                <c:pt idx="3">
                  <c:v>0.18911842627279243</c:v>
                </c:pt>
                <c:pt idx="4">
                  <c:v>-0.3186393639643752</c:v>
                </c:pt>
                <c:pt idx="5">
                  <c:v>-0.48172684958473044</c:v>
                </c:pt>
                <c:pt idx="6">
                  <c:v>0.9944578832097497</c:v>
                </c:pt>
                <c:pt idx="7">
                  <c:v>1.6953977102721358</c:v>
                </c:pt>
                <c:pt idx="8">
                  <c:v>-5.0153583464733656E-2</c:v>
                </c:pt>
                <c:pt idx="9">
                  <c:v>-0.17637416478086138</c:v>
                </c:pt>
                <c:pt idx="10">
                  <c:v>-0.3718560893850747</c:v>
                </c:pt>
                <c:pt idx="11">
                  <c:v>-1.0803193408149565</c:v>
                </c:pt>
                <c:pt idx="12">
                  <c:v>-1.2815515655446006</c:v>
                </c:pt>
                <c:pt idx="13">
                  <c:v>-0.10043372051146976</c:v>
                </c:pt>
                <c:pt idx="14">
                  <c:v>0.65883769273618775</c:v>
                </c:pt>
                <c:pt idx="15">
                  <c:v>0.29237489622680418</c:v>
                </c:pt>
                <c:pt idx="16">
                  <c:v>0.69030882393303394</c:v>
                </c:pt>
                <c:pt idx="17">
                  <c:v>0.67448975019608193</c:v>
                </c:pt>
                <c:pt idx="18">
                  <c:v>0.2404260311423079</c:v>
                </c:pt>
                <c:pt idx="19">
                  <c:v>0.62800601443756987</c:v>
                </c:pt>
                <c:pt idx="20">
                  <c:v>1.2533469508069276E-2</c:v>
                </c:pt>
                <c:pt idx="21">
                  <c:v>-3.7608287661255936E-2</c:v>
                </c:pt>
                <c:pt idx="22">
                  <c:v>-0.11303854064456513</c:v>
                </c:pt>
                <c:pt idx="23">
                  <c:v>0.30548078809939727</c:v>
                </c:pt>
                <c:pt idx="24">
                  <c:v>-6.2706777943213846E-2</c:v>
                </c:pt>
                <c:pt idx="25">
                  <c:v>-0.42614800784127821</c:v>
                </c:pt>
                <c:pt idx="26">
                  <c:v>0.61281299101662734</c:v>
                </c:pt>
                <c:pt idx="27">
                  <c:v>-0.2404260311423079</c:v>
                </c:pt>
                <c:pt idx="28">
                  <c:v>0.7063025628400873</c:v>
                </c:pt>
                <c:pt idx="29">
                  <c:v>0.77219321418868503</c:v>
                </c:pt>
                <c:pt idx="30">
                  <c:v>-1.5141018876192833</c:v>
                </c:pt>
                <c:pt idx="31">
                  <c:v>-0.16365848623314128</c:v>
                </c:pt>
                <c:pt idx="32">
                  <c:v>0.15096921549677741</c:v>
                </c:pt>
                <c:pt idx="33">
                  <c:v>-0.41246312944140484</c:v>
                </c:pt>
                <c:pt idx="34">
                  <c:v>-0.33185334643681658</c:v>
                </c:pt>
                <c:pt idx="35">
                  <c:v>0.35845879325119384</c:v>
                </c:pt>
                <c:pt idx="36">
                  <c:v>0.33185334643681658</c:v>
                </c:pt>
                <c:pt idx="37">
                  <c:v>-0.65883769273618775</c:v>
                </c:pt>
                <c:pt idx="38">
                  <c:v>0.34512553147047242</c:v>
                </c:pt>
                <c:pt idx="39">
                  <c:v>-0.20189347914185088</c:v>
                </c:pt>
                <c:pt idx="40">
                  <c:v>-0.82389363033855767</c:v>
                </c:pt>
                <c:pt idx="41">
                  <c:v>0.72247905192806261</c:v>
                </c:pt>
                <c:pt idx="42">
                  <c:v>-0.85961736424191304</c:v>
                </c:pt>
                <c:pt idx="43">
                  <c:v>1.4050715603096329</c:v>
                </c:pt>
                <c:pt idx="44">
                  <c:v>1.0364333894937898</c:v>
                </c:pt>
                <c:pt idx="45">
                  <c:v>1.7506860712521695</c:v>
                </c:pt>
                <c:pt idx="46">
                  <c:v>1.4757910281791713</c:v>
                </c:pt>
                <c:pt idx="47">
                  <c:v>-1.2533469508069276E-2</c:v>
                </c:pt>
                <c:pt idx="48">
                  <c:v>1.2265281200366105</c:v>
                </c:pt>
                <c:pt idx="49">
                  <c:v>0.39885506564233691</c:v>
                </c:pt>
                <c:pt idx="50">
                  <c:v>1.1030625561995977</c:v>
                </c:pt>
                <c:pt idx="51">
                  <c:v>0.38532046640756784</c:v>
                </c:pt>
                <c:pt idx="52">
                  <c:v>1.2815515655446006</c:v>
                </c:pt>
                <c:pt idx="53">
                  <c:v>5.0153583464733656E-2</c:v>
                </c:pt>
                <c:pt idx="54">
                  <c:v>-1.0152220332170301</c:v>
                </c:pt>
                <c:pt idx="55">
                  <c:v>-1.4757910281791702</c:v>
                </c:pt>
                <c:pt idx="56">
                  <c:v>0.17637416478086121</c:v>
                </c:pt>
                <c:pt idx="57">
                  <c:v>3.7608287661255936E-2</c:v>
                </c:pt>
                <c:pt idx="58">
                  <c:v>0.46769879911450835</c:v>
                </c:pt>
                <c:pt idx="59">
                  <c:v>-8.7844837895871677E-2</c:v>
                </c:pt>
                <c:pt idx="60">
                  <c:v>-0.58284150727121631</c:v>
                </c:pt>
                <c:pt idx="61">
                  <c:v>0.3186393639643752</c:v>
                </c:pt>
                <c:pt idx="62">
                  <c:v>1.2535654384704511</c:v>
                </c:pt>
                <c:pt idx="63">
                  <c:v>0.80642124701824058</c:v>
                </c:pt>
                <c:pt idx="64">
                  <c:v>1.0152220332170301</c:v>
                </c:pt>
                <c:pt idx="65">
                  <c:v>0.20189347914185077</c:v>
                </c:pt>
                <c:pt idx="66">
                  <c:v>1.1263911290388013</c:v>
                </c:pt>
                <c:pt idx="67">
                  <c:v>-0.59776012604247841</c:v>
                </c:pt>
                <c:pt idx="68">
                  <c:v>2.0537489106318221</c:v>
                </c:pt>
                <c:pt idx="69">
                  <c:v>2.506890825871106E-2</c:v>
                </c:pt>
                <c:pt idx="70">
                  <c:v>0.22754497664114934</c:v>
                </c:pt>
                <c:pt idx="71">
                  <c:v>-1.3722038089987272</c:v>
                </c:pt>
                <c:pt idx="72">
                  <c:v>1.0803193408149565</c:v>
                </c:pt>
                <c:pt idx="73">
                  <c:v>-0.15096921549677725</c:v>
                </c:pt>
                <c:pt idx="74">
                  <c:v>1.6448536269514715</c:v>
                </c:pt>
                <c:pt idx="75">
                  <c:v>-2.506890825871106E-2</c:v>
                </c:pt>
                <c:pt idx="76">
                  <c:v>1.2003588580308597</c:v>
                </c:pt>
                <c:pt idx="77">
                  <c:v>1.058121617684777</c:v>
                </c:pt>
                <c:pt idx="78">
                  <c:v>0.27931903444745415</c:v>
                </c:pt>
                <c:pt idx="79">
                  <c:v>-0.27931903444745415</c:v>
                </c:pt>
                <c:pt idx="80">
                  <c:v>0.51007345696859474</c:v>
                </c:pt>
                <c:pt idx="81">
                  <c:v>0.52440051270804078</c:v>
                </c:pt>
                <c:pt idx="82">
                  <c:v>-0.29237489622680418</c:v>
                </c:pt>
                <c:pt idx="83">
                  <c:v>0.25334710313579978</c:v>
                </c:pt>
                <c:pt idx="84">
                  <c:v>0.42614800784127838</c:v>
                </c:pt>
                <c:pt idx="85">
                  <c:v>0.53883603027845006</c:v>
                </c:pt>
                <c:pt idx="86">
                  <c:v>-0.34512553147047242</c:v>
                </c:pt>
                <c:pt idx="87">
                  <c:v>0.45376219016987968</c:v>
                </c:pt>
                <c:pt idx="88">
                  <c:v>-1.058121617684777</c:v>
                </c:pt>
                <c:pt idx="89">
                  <c:v>1.5141018876192844</c:v>
                </c:pt>
                <c:pt idx="90">
                  <c:v>-0.69030882393303394</c:v>
                </c:pt>
                <c:pt idx="91">
                  <c:v>1.8807936081512504</c:v>
                </c:pt>
                <c:pt idx="92">
                  <c:v>0.9345892910734801</c:v>
                </c:pt>
                <c:pt idx="93">
                  <c:v>-1.2003588580308597</c:v>
                </c:pt>
                <c:pt idx="94">
                  <c:v>0.3718560893850747</c:v>
                </c:pt>
                <c:pt idx="95">
                  <c:v>0.97411387705930974</c:v>
                </c:pt>
                <c:pt idx="96">
                  <c:v>-1.3105791121681303</c:v>
                </c:pt>
                <c:pt idx="97">
                  <c:v>-1.3407550336902161</c:v>
                </c:pt>
                <c:pt idx="98">
                  <c:v>-0.5388360302784504</c:v>
                </c:pt>
                <c:pt idx="99">
                  <c:v>-0.38532046640756784</c:v>
                </c:pt>
                <c:pt idx="100">
                  <c:v>6.2706777943213846E-2</c:v>
                </c:pt>
                <c:pt idx="101">
                  <c:v>-1.0364333894937898</c:v>
                </c:pt>
                <c:pt idx="102">
                  <c:v>0.85961736424191149</c:v>
                </c:pt>
                <c:pt idx="103">
                  <c:v>-0.7063025628400873</c:v>
                </c:pt>
                <c:pt idx="104">
                  <c:v>-0.93458929107347943</c:v>
                </c:pt>
                <c:pt idx="105">
                  <c:v>-0.62800601443756987</c:v>
                </c:pt>
                <c:pt idx="106">
                  <c:v>-0.39885506564233691</c:v>
                </c:pt>
                <c:pt idx="107">
                  <c:v>-0.49585034734745354</c:v>
                </c:pt>
                <c:pt idx="108">
                  <c:v>-0.56805149833898283</c:v>
                </c:pt>
                <c:pt idx="109">
                  <c:v>2.5758293035488999</c:v>
                </c:pt>
                <c:pt idx="110">
                  <c:v>2.1700903775845601</c:v>
                </c:pt>
                <c:pt idx="111">
                  <c:v>2.3263478740408408</c:v>
                </c:pt>
                <c:pt idx="112">
                  <c:v>1.3255161998000577</c:v>
                </c:pt>
                <c:pt idx="113">
                  <c:v>1.3255161998000577</c:v>
                </c:pt>
                <c:pt idx="114">
                  <c:v>0.43991316567323396</c:v>
                </c:pt>
                <c:pt idx="115">
                  <c:v>1.8119106729525971</c:v>
                </c:pt>
                <c:pt idx="116">
                  <c:v>0.75541502636046909</c:v>
                </c:pt>
                <c:pt idx="117">
                  <c:v>-2.0537489106318225</c:v>
                </c:pt>
                <c:pt idx="118">
                  <c:v>0.87789629505122857</c:v>
                </c:pt>
                <c:pt idx="119">
                  <c:v>1.5981931399228169</c:v>
                </c:pt>
                <c:pt idx="120">
                  <c:v>0.11303854064456527</c:v>
                </c:pt>
                <c:pt idx="121">
                  <c:v>1.1503493803760083</c:v>
                </c:pt>
                <c:pt idx="122">
                  <c:v>-1.6448536269514726</c:v>
                </c:pt>
                <c:pt idx="123">
                  <c:v>0.13830420796140466</c:v>
                </c:pt>
                <c:pt idx="124">
                  <c:v>-0.89647336400191613</c:v>
                </c:pt>
                <c:pt idx="125">
                  <c:v>1.1749867920660904</c:v>
                </c:pt>
                <c:pt idx="126">
                  <c:v>-1.554773594596853</c:v>
                </c:pt>
                <c:pt idx="127">
                  <c:v>-0.72247905192806261</c:v>
                </c:pt>
                <c:pt idx="128">
                  <c:v>-0.1383042079614045</c:v>
                </c:pt>
                <c:pt idx="129">
                  <c:v>-1.8119106729525978</c:v>
                </c:pt>
                <c:pt idx="130">
                  <c:v>-0.91536508784281501</c:v>
                </c:pt>
                <c:pt idx="131">
                  <c:v>-1.2535654384704511</c:v>
                </c:pt>
                <c:pt idx="132">
                  <c:v>-0.97411387705930974</c:v>
                </c:pt>
                <c:pt idx="133">
                  <c:v>-1.7506860712521695</c:v>
                </c:pt>
                <c:pt idx="134">
                  <c:v>-0.46769879911450829</c:v>
                </c:pt>
                <c:pt idx="135">
                  <c:v>-0.55338471955567303</c:v>
                </c:pt>
                <c:pt idx="136">
                  <c:v>0.5533847195556727</c:v>
                </c:pt>
                <c:pt idx="137">
                  <c:v>-1.6953977102721358</c:v>
                </c:pt>
                <c:pt idx="138">
                  <c:v>1.3722038089987258</c:v>
                </c:pt>
                <c:pt idx="139">
                  <c:v>0.64334540539291696</c:v>
                </c:pt>
                <c:pt idx="140">
                  <c:v>-0.84162123357291452</c:v>
                </c:pt>
                <c:pt idx="141">
                  <c:v>-0.26631061320409499</c:v>
                </c:pt>
                <c:pt idx="142">
                  <c:v>0.21470156800174439</c:v>
                </c:pt>
                <c:pt idx="143">
                  <c:v>-0.43991316567323374</c:v>
                </c:pt>
                <c:pt idx="144">
                  <c:v>-0.2275449766411495</c:v>
                </c:pt>
                <c:pt idx="145">
                  <c:v>-0.78919165265822189</c:v>
                </c:pt>
                <c:pt idx="146">
                  <c:v>0.48172684958473044</c:v>
                </c:pt>
                <c:pt idx="147">
                  <c:v>1.9599639845400536</c:v>
                </c:pt>
                <c:pt idx="148">
                  <c:v>0.58284150727121631</c:v>
                </c:pt>
                <c:pt idx="149">
                  <c:v>7.5269862099829901E-2</c:v>
                </c:pt>
                <c:pt idx="150">
                  <c:v>-0.45376219016987951</c:v>
                </c:pt>
                <c:pt idx="151">
                  <c:v>0.73884684918521393</c:v>
                </c:pt>
                <c:pt idx="152">
                  <c:v>-0.35845879325119384</c:v>
                </c:pt>
                <c:pt idx="153">
                  <c:v>-0.12566134685507402</c:v>
                </c:pt>
                <c:pt idx="154">
                  <c:v>0.89647336400191591</c:v>
                </c:pt>
                <c:pt idx="155">
                  <c:v>-0.95416525314619549</c:v>
                </c:pt>
                <c:pt idx="156">
                  <c:v>0.10043372051146988</c:v>
                </c:pt>
                <c:pt idx="157">
                  <c:v>-0.52440051270804089</c:v>
                </c:pt>
                <c:pt idx="158">
                  <c:v>0.26631061320409499</c:v>
                </c:pt>
                <c:pt idx="159">
                  <c:v>-0.18911842627279254</c:v>
                </c:pt>
                <c:pt idx="160">
                  <c:v>-0.21470156800174456</c:v>
                </c:pt>
                <c:pt idx="161">
                  <c:v>0.82389363033855767</c:v>
                </c:pt>
                <c:pt idx="162">
                  <c:v>-0.30548078809939727</c:v>
                </c:pt>
                <c:pt idx="163">
                  <c:v>-7.5269862099829901E-2</c:v>
                </c:pt>
                <c:pt idx="164">
                  <c:v>-0.75541502636046909</c:v>
                </c:pt>
                <c:pt idx="165">
                  <c:v>0.49585034734745331</c:v>
                </c:pt>
                <c:pt idx="166">
                  <c:v>0.16365848623314114</c:v>
                </c:pt>
                <c:pt idx="167">
                  <c:v>0</c:v>
                </c:pt>
                <c:pt idx="168">
                  <c:v>0.41246312944140473</c:v>
                </c:pt>
                <c:pt idx="169">
                  <c:v>-0.87789629505122846</c:v>
                </c:pt>
                <c:pt idx="170">
                  <c:v>-1.1030625561995977</c:v>
                </c:pt>
                <c:pt idx="171">
                  <c:v>0.84162123357291474</c:v>
                </c:pt>
                <c:pt idx="172">
                  <c:v>-0.73884684918521393</c:v>
                </c:pt>
                <c:pt idx="173">
                  <c:v>-1.1263911290388013</c:v>
                </c:pt>
                <c:pt idx="174">
                  <c:v>0.12566134685507416</c:v>
                </c:pt>
                <c:pt idx="175">
                  <c:v>-0.9944578832097497</c:v>
                </c:pt>
                <c:pt idx="176">
                  <c:v>-1.4050715603096353</c:v>
                </c:pt>
                <c:pt idx="177">
                  <c:v>-1.1749867920660904</c:v>
                </c:pt>
                <c:pt idx="178">
                  <c:v>8.7844837895871816E-2</c:v>
                </c:pt>
                <c:pt idx="179">
                  <c:v>0.59776012604247841</c:v>
                </c:pt>
                <c:pt idx="180">
                  <c:v>-1.5981931399228173</c:v>
                </c:pt>
                <c:pt idx="181">
                  <c:v>-1.4395314709384572</c:v>
                </c:pt>
                <c:pt idx="182">
                  <c:v>-0.25334710313579978</c:v>
                </c:pt>
                <c:pt idx="183">
                  <c:v>-0.51007345696859485</c:v>
                </c:pt>
                <c:pt idx="184">
                  <c:v>-1.9599639845400538</c:v>
                </c:pt>
                <c:pt idx="185">
                  <c:v>-2.1700903775845601</c:v>
                </c:pt>
                <c:pt idx="186">
                  <c:v>-0.67448975019608193</c:v>
                </c:pt>
                <c:pt idx="187">
                  <c:v>-0.61281299101662734</c:v>
                </c:pt>
                <c:pt idx="188">
                  <c:v>0.56805149833898272</c:v>
                </c:pt>
                <c:pt idx="189">
                  <c:v>-1.8807936081512509</c:v>
                </c:pt>
                <c:pt idx="190">
                  <c:v>0.95416525314619549</c:v>
                </c:pt>
                <c:pt idx="191">
                  <c:v>-2.3263478740408408</c:v>
                </c:pt>
                <c:pt idx="192">
                  <c:v>-2.5758293035488999</c:v>
                </c:pt>
                <c:pt idx="193">
                  <c:v>0.78919165265822189</c:v>
                </c:pt>
                <c:pt idx="194">
                  <c:v>1.5547735945968528</c:v>
                </c:pt>
                <c:pt idx="195">
                  <c:v>-0.64334540539291696</c:v>
                </c:pt>
                <c:pt idx="196">
                  <c:v>0.91536508784281256</c:v>
                </c:pt>
                <c:pt idx="197">
                  <c:v>1.4395314709384563</c:v>
                </c:pt>
                <c:pt idx="198">
                  <c:v>-1.2265281200366105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D7-4FF6-9728-483B7E843513}"/>
            </c:ext>
          </c:extLst>
        </c:ser>
        <c:ser>
          <c:idx val="1"/>
          <c:order val="1"/>
          <c:marker>
            <c:symbol val="none"/>
          </c:marker>
          <c:xVal>
            <c:numRef>
              <c:f>Residuals!$T$1:$T$2</c:f>
              <c:numCache>
                <c:formatCode>General</c:formatCode>
                <c:ptCount val="2"/>
                <c:pt idx="0">
                  <c:v>6716.5106519732763</c:v>
                </c:pt>
                <c:pt idx="1">
                  <c:v>-6716.5106519732763</c:v>
                </c:pt>
              </c:numCache>
            </c:numRef>
          </c:xVal>
          <c:yVal>
            <c:numRef>
              <c:f>Residuals!$U$1:$U$2</c:f>
              <c:numCache>
                <c:formatCode>General</c:formatCode>
                <c:ptCount val="2"/>
                <c:pt idx="0">
                  <c:v>3</c:v>
                </c:pt>
                <c:pt idx="1">
                  <c:v>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8D7-4FF6-9728-483B7E8435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559360"/>
        <c:axId val="82560896"/>
      </c:scatterChart>
      <c:valAx>
        <c:axId val="825593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Residual</a:t>
                </a:r>
              </a:p>
            </c:rich>
          </c:tx>
          <c:layout>
            <c:manualLayout>
              <c:xMode val="edge"/>
              <c:yMode val="edge"/>
              <c:x val="0.4598698481561822"/>
              <c:y val="0.91666969513426211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2560896"/>
        <c:crosses val="autoZero"/>
        <c:crossBetween val="midCat"/>
      </c:valAx>
      <c:valAx>
        <c:axId val="82560896"/>
        <c:scaling>
          <c:orientation val="minMax"/>
          <c:max val="3"/>
          <c:min val="-3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Corresponding Normal Z</a:t>
                </a:r>
              </a:p>
            </c:rich>
          </c:tx>
          <c:layout>
            <c:manualLayout>
              <c:xMode val="edge"/>
              <c:yMode val="edge"/>
              <c:x val="1.5184381778741865E-2"/>
              <c:y val="0.26923177871996767"/>
            </c:manualLayout>
          </c:layout>
          <c:overlay val="0"/>
        </c:title>
        <c:numFmt formatCode="General" sourceLinked="0"/>
        <c:majorTickMark val="out"/>
        <c:minorTickMark val="none"/>
        <c:tickLblPos val="nextTo"/>
        <c:txPr>
          <a:bodyPr rot="0" vert="horz"/>
          <a:lstStyle/>
          <a:p>
            <a:pPr>
              <a:defRPr/>
            </a:pPr>
            <a:endParaRPr lang="en-US"/>
          </a:p>
        </c:txPr>
        <c:crossAx val="82559360"/>
        <c:crosses val="autoZero"/>
        <c:crossBetween val="midCat"/>
      </c:valAx>
    </c:plotArea>
    <c:plotVisOnly val="0"/>
    <c:dispBlanksAs val="gap"/>
    <c:showDLblsOverMax val="0"/>
  </c:chart>
  <c:printSettings>
    <c:headerFooter alignWithMargins="0"/>
    <c:pageMargins b="1" l="0.75" r="0.75" t="1" header="0.5" footer="0.5"/>
    <c:pageSetup orientation="landscape" horizontalDpi="100" verticalDpi="100" copies="0"/>
  </c:printSettings>
</c:chartSpace>
</file>

<file path=xl/ctrlProps/ctrlProp1.xml><?xml version="1.0" encoding="utf-8"?>
<formControlPr xmlns="http://schemas.microsoft.com/office/spreadsheetml/2009/9/main" objectType="Drop" dropLines="11" dropStyle="combo" dx="16" fmlaLink="$O$1" fmlaRange="$N$1:$N$11" sel="1" val="0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2" name="Picture 1" descr="spacer">
          <a:extLst>
            <a:ext uri="{FF2B5EF4-FFF2-40B4-BE49-F238E27FC236}">
              <a16:creationId xmlns:a16="http://schemas.microsoft.com/office/drawing/2014/main" id="{29025F76-A051-4F3E-A161-22A0E14F6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3" name="Picture 2" descr="spacer">
          <a:extLst>
            <a:ext uri="{FF2B5EF4-FFF2-40B4-BE49-F238E27FC236}">
              <a16:creationId xmlns:a16="http://schemas.microsoft.com/office/drawing/2014/main" id="{6223AD87-FE3A-43A6-A2A0-B37DEA385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4" name="Picture 3" descr="spacer">
          <a:extLst>
            <a:ext uri="{FF2B5EF4-FFF2-40B4-BE49-F238E27FC236}">
              <a16:creationId xmlns:a16="http://schemas.microsoft.com/office/drawing/2014/main" id="{197775DB-994D-46F7-8914-B00AB3326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5" name="Picture 4" descr="spacer">
          <a:extLst>
            <a:ext uri="{FF2B5EF4-FFF2-40B4-BE49-F238E27FC236}">
              <a16:creationId xmlns:a16="http://schemas.microsoft.com/office/drawing/2014/main" id="{C1867760-B01E-4628-B715-9203E2CA6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6" name="Picture 5" descr="spacer">
          <a:extLst>
            <a:ext uri="{FF2B5EF4-FFF2-40B4-BE49-F238E27FC236}">
              <a16:creationId xmlns:a16="http://schemas.microsoft.com/office/drawing/2014/main" id="{11D28C23-68BA-4FA1-BA41-DA94CA91B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7" name="Picture 6" descr="spacer">
          <a:extLst>
            <a:ext uri="{FF2B5EF4-FFF2-40B4-BE49-F238E27FC236}">
              <a16:creationId xmlns:a16="http://schemas.microsoft.com/office/drawing/2014/main" id="{07C70EC2-9963-401C-95B9-D88CDABC0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8" name="Picture 7" descr="spacer">
          <a:extLst>
            <a:ext uri="{FF2B5EF4-FFF2-40B4-BE49-F238E27FC236}">
              <a16:creationId xmlns:a16="http://schemas.microsoft.com/office/drawing/2014/main" id="{69C979B0-CBFF-4380-9ACD-4C673869F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9" name="Picture 8" descr="spacer">
          <a:extLst>
            <a:ext uri="{FF2B5EF4-FFF2-40B4-BE49-F238E27FC236}">
              <a16:creationId xmlns:a16="http://schemas.microsoft.com/office/drawing/2014/main" id="{62228A3E-7A68-4363-BED6-73CF5FDF5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10" name="Picture 9" descr="spacer">
          <a:extLst>
            <a:ext uri="{FF2B5EF4-FFF2-40B4-BE49-F238E27FC236}">
              <a16:creationId xmlns:a16="http://schemas.microsoft.com/office/drawing/2014/main" id="{DC7D28D7-4B8B-4270-949E-9BEFDFD12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11" name="Picture 10" descr="spacer">
          <a:extLst>
            <a:ext uri="{FF2B5EF4-FFF2-40B4-BE49-F238E27FC236}">
              <a16:creationId xmlns:a16="http://schemas.microsoft.com/office/drawing/2014/main" id="{D53946AB-905C-4505-BDD3-0D20F9148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12" name="Picture 11" descr="spacer">
          <a:extLst>
            <a:ext uri="{FF2B5EF4-FFF2-40B4-BE49-F238E27FC236}">
              <a16:creationId xmlns:a16="http://schemas.microsoft.com/office/drawing/2014/main" id="{2CF78475-FA2F-4ECD-8FAD-427908417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13" name="Picture 12" descr="spacer">
          <a:extLst>
            <a:ext uri="{FF2B5EF4-FFF2-40B4-BE49-F238E27FC236}">
              <a16:creationId xmlns:a16="http://schemas.microsoft.com/office/drawing/2014/main" id="{AC02B697-957B-4FB4-B16D-7475E51C4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14" name="Picture 13" descr="spacer">
          <a:extLst>
            <a:ext uri="{FF2B5EF4-FFF2-40B4-BE49-F238E27FC236}">
              <a16:creationId xmlns:a16="http://schemas.microsoft.com/office/drawing/2014/main" id="{F584DD64-CBBE-4520-8EFC-2C0A6DDA0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15" name="Picture 14" descr="spacer">
          <a:extLst>
            <a:ext uri="{FF2B5EF4-FFF2-40B4-BE49-F238E27FC236}">
              <a16:creationId xmlns:a16="http://schemas.microsoft.com/office/drawing/2014/main" id="{A761AE78-811D-4D10-A801-A015EED22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19050</xdr:colOff>
      <xdr:row>3</xdr:row>
      <xdr:rowOff>19050</xdr:rowOff>
    </xdr:to>
    <xdr:pic>
      <xdr:nvPicPr>
        <xdr:cNvPr id="16" name="Picture 16" descr="spacer">
          <a:extLst>
            <a:ext uri="{FF2B5EF4-FFF2-40B4-BE49-F238E27FC236}">
              <a16:creationId xmlns:a16="http://schemas.microsoft.com/office/drawing/2014/main" id="{BAA682FC-8286-4F4E-AEE2-634E77902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</xdr:col>
      <xdr:colOff>211455</xdr:colOff>
      <xdr:row>3</xdr:row>
      <xdr:rowOff>19050</xdr:rowOff>
    </xdr:to>
    <xdr:pic>
      <xdr:nvPicPr>
        <xdr:cNvPr id="17" name="Picture 17" descr="spacer">
          <a:extLst>
            <a:ext uri="{FF2B5EF4-FFF2-40B4-BE49-F238E27FC236}">
              <a16:creationId xmlns:a16="http://schemas.microsoft.com/office/drawing/2014/main" id="{89B76999-C786-4368-B517-56FACB1B6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57150</xdr:rowOff>
    </xdr:to>
    <xdr:pic>
      <xdr:nvPicPr>
        <xdr:cNvPr id="18" name="Picture 18" descr="spacer">
          <a:extLst>
            <a:ext uri="{FF2B5EF4-FFF2-40B4-BE49-F238E27FC236}">
              <a16:creationId xmlns:a16="http://schemas.microsoft.com/office/drawing/2014/main" id="{CEB72EF9-6604-4EEF-9EC2-26B06984B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57150</xdr:rowOff>
    </xdr:to>
    <xdr:pic>
      <xdr:nvPicPr>
        <xdr:cNvPr id="19" name="Picture 19" descr="spacer">
          <a:extLst>
            <a:ext uri="{FF2B5EF4-FFF2-40B4-BE49-F238E27FC236}">
              <a16:creationId xmlns:a16="http://schemas.microsoft.com/office/drawing/2014/main" id="{510BA8AF-BF51-47D3-BFED-387A75614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20" name="Picture 20" descr="spacer">
          <a:extLst>
            <a:ext uri="{FF2B5EF4-FFF2-40B4-BE49-F238E27FC236}">
              <a16:creationId xmlns:a16="http://schemas.microsoft.com/office/drawing/2014/main" id="{C4F01DC7-7FD3-4F65-BE57-7999E18BC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21" name="Picture 21" descr="spacer">
          <a:extLst>
            <a:ext uri="{FF2B5EF4-FFF2-40B4-BE49-F238E27FC236}">
              <a16:creationId xmlns:a16="http://schemas.microsoft.com/office/drawing/2014/main" id="{4A723773-6E30-4208-B791-D98679603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22" name="Picture 22" descr="spacer">
          <a:extLst>
            <a:ext uri="{FF2B5EF4-FFF2-40B4-BE49-F238E27FC236}">
              <a16:creationId xmlns:a16="http://schemas.microsoft.com/office/drawing/2014/main" id="{86CD8F58-5B2A-4EC7-9FD5-6D046121A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23" name="Picture 23" descr="spacer">
          <a:extLst>
            <a:ext uri="{FF2B5EF4-FFF2-40B4-BE49-F238E27FC236}">
              <a16:creationId xmlns:a16="http://schemas.microsoft.com/office/drawing/2014/main" id="{543E45AF-9C13-4DDB-BEAE-70D3393F2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24" name="Picture 24" descr="spacer">
          <a:extLst>
            <a:ext uri="{FF2B5EF4-FFF2-40B4-BE49-F238E27FC236}">
              <a16:creationId xmlns:a16="http://schemas.microsoft.com/office/drawing/2014/main" id="{6121C9BD-6B25-454F-BDBA-60AF2DF50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25" name="Picture 25" descr="spacer">
          <a:extLst>
            <a:ext uri="{FF2B5EF4-FFF2-40B4-BE49-F238E27FC236}">
              <a16:creationId xmlns:a16="http://schemas.microsoft.com/office/drawing/2014/main" id="{EEC1F0B3-7618-4ECD-BAAA-C1009E66E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26" name="Picture 26" descr="spacer">
          <a:extLst>
            <a:ext uri="{FF2B5EF4-FFF2-40B4-BE49-F238E27FC236}">
              <a16:creationId xmlns:a16="http://schemas.microsoft.com/office/drawing/2014/main" id="{F784A67F-5568-4DAD-8FFB-B74A18958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27" name="Picture 27" descr="spacer">
          <a:extLst>
            <a:ext uri="{FF2B5EF4-FFF2-40B4-BE49-F238E27FC236}">
              <a16:creationId xmlns:a16="http://schemas.microsoft.com/office/drawing/2014/main" id="{B38BA960-28A6-416A-B2A0-60F848490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28" name="Picture 28" descr="spacer">
          <a:extLst>
            <a:ext uri="{FF2B5EF4-FFF2-40B4-BE49-F238E27FC236}">
              <a16:creationId xmlns:a16="http://schemas.microsoft.com/office/drawing/2014/main" id="{39044307-E60D-48F6-ACAF-200CB57B1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29" name="Picture 29" descr="spacer">
          <a:extLst>
            <a:ext uri="{FF2B5EF4-FFF2-40B4-BE49-F238E27FC236}">
              <a16:creationId xmlns:a16="http://schemas.microsoft.com/office/drawing/2014/main" id="{CF0870FC-5272-4258-92D2-03543BC9A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30" name="Picture 30" descr="spacer">
          <a:extLst>
            <a:ext uri="{FF2B5EF4-FFF2-40B4-BE49-F238E27FC236}">
              <a16:creationId xmlns:a16="http://schemas.microsoft.com/office/drawing/2014/main" id="{35C8996A-C859-437E-99F3-C9399A0FE7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31" name="Picture 31" descr="spacer">
          <a:extLst>
            <a:ext uri="{FF2B5EF4-FFF2-40B4-BE49-F238E27FC236}">
              <a16:creationId xmlns:a16="http://schemas.microsoft.com/office/drawing/2014/main" id="{906A8F1E-2568-42CC-8757-F668341E59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32" name="Picture 32" descr="spacer">
          <a:extLst>
            <a:ext uri="{FF2B5EF4-FFF2-40B4-BE49-F238E27FC236}">
              <a16:creationId xmlns:a16="http://schemas.microsoft.com/office/drawing/2014/main" id="{83A1FA9A-EBFE-48C4-8206-F75C2D2D6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33" name="Picture 33" descr="spacer">
          <a:extLst>
            <a:ext uri="{FF2B5EF4-FFF2-40B4-BE49-F238E27FC236}">
              <a16:creationId xmlns:a16="http://schemas.microsoft.com/office/drawing/2014/main" id="{6E39ECCB-15AD-44EF-89DD-84EAC81EC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19050</xdr:colOff>
      <xdr:row>3</xdr:row>
      <xdr:rowOff>19050</xdr:rowOff>
    </xdr:to>
    <xdr:pic>
      <xdr:nvPicPr>
        <xdr:cNvPr id="34" name="Picture 35" descr="spacer">
          <a:extLst>
            <a:ext uri="{FF2B5EF4-FFF2-40B4-BE49-F238E27FC236}">
              <a16:creationId xmlns:a16="http://schemas.microsoft.com/office/drawing/2014/main" id="{C4EE5CCF-3110-4201-A10D-4CF1D17E1F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</xdr:col>
      <xdr:colOff>211455</xdr:colOff>
      <xdr:row>3</xdr:row>
      <xdr:rowOff>19050</xdr:rowOff>
    </xdr:to>
    <xdr:pic>
      <xdr:nvPicPr>
        <xdr:cNvPr id="35" name="Picture 36" descr="spacer">
          <a:extLst>
            <a:ext uri="{FF2B5EF4-FFF2-40B4-BE49-F238E27FC236}">
              <a16:creationId xmlns:a16="http://schemas.microsoft.com/office/drawing/2014/main" id="{40A26AE3-B6DA-4EE1-952E-BEA20F4C8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57150</xdr:rowOff>
    </xdr:to>
    <xdr:pic>
      <xdr:nvPicPr>
        <xdr:cNvPr id="36" name="Picture 37" descr="spacer">
          <a:extLst>
            <a:ext uri="{FF2B5EF4-FFF2-40B4-BE49-F238E27FC236}">
              <a16:creationId xmlns:a16="http://schemas.microsoft.com/office/drawing/2014/main" id="{6D4C873D-03E1-42A4-936C-D4B8C77E8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57150</xdr:rowOff>
    </xdr:to>
    <xdr:pic>
      <xdr:nvPicPr>
        <xdr:cNvPr id="37" name="Picture 38" descr="spacer">
          <a:extLst>
            <a:ext uri="{FF2B5EF4-FFF2-40B4-BE49-F238E27FC236}">
              <a16:creationId xmlns:a16="http://schemas.microsoft.com/office/drawing/2014/main" id="{F73E6345-DD37-4B12-955D-8C6761E11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38" name="Picture 39" descr="spacer">
          <a:extLst>
            <a:ext uri="{FF2B5EF4-FFF2-40B4-BE49-F238E27FC236}">
              <a16:creationId xmlns:a16="http://schemas.microsoft.com/office/drawing/2014/main" id="{A86633B7-B685-4A81-AA94-045D5F9EE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39" name="Picture 40" descr="spacer">
          <a:extLst>
            <a:ext uri="{FF2B5EF4-FFF2-40B4-BE49-F238E27FC236}">
              <a16:creationId xmlns:a16="http://schemas.microsoft.com/office/drawing/2014/main" id="{571FADD9-9FC2-40BC-998A-77F1F3200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40" name="Picture 41" descr="spacer">
          <a:extLst>
            <a:ext uri="{FF2B5EF4-FFF2-40B4-BE49-F238E27FC236}">
              <a16:creationId xmlns:a16="http://schemas.microsoft.com/office/drawing/2014/main" id="{082BB1E0-95EA-4E09-B6A3-14CC570B8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41" name="Picture 42" descr="spacer">
          <a:extLst>
            <a:ext uri="{FF2B5EF4-FFF2-40B4-BE49-F238E27FC236}">
              <a16:creationId xmlns:a16="http://schemas.microsoft.com/office/drawing/2014/main" id="{5BF24D63-B6A4-48C0-8F36-456F958F6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42" name="Picture 43" descr="spacer">
          <a:extLst>
            <a:ext uri="{FF2B5EF4-FFF2-40B4-BE49-F238E27FC236}">
              <a16:creationId xmlns:a16="http://schemas.microsoft.com/office/drawing/2014/main" id="{EB3DB58D-4C4F-4BB9-A206-0935BEB8A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43" name="Picture 44" descr="spacer">
          <a:extLst>
            <a:ext uri="{FF2B5EF4-FFF2-40B4-BE49-F238E27FC236}">
              <a16:creationId xmlns:a16="http://schemas.microsoft.com/office/drawing/2014/main" id="{C0536025-2CC1-40E3-BC88-2D5BA5456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44" name="Picture 45" descr="spacer">
          <a:extLst>
            <a:ext uri="{FF2B5EF4-FFF2-40B4-BE49-F238E27FC236}">
              <a16:creationId xmlns:a16="http://schemas.microsoft.com/office/drawing/2014/main" id="{308D2725-01A1-4B8B-B5B5-B08CF1EFE6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45" name="Picture 46" descr="spacer">
          <a:extLst>
            <a:ext uri="{FF2B5EF4-FFF2-40B4-BE49-F238E27FC236}">
              <a16:creationId xmlns:a16="http://schemas.microsoft.com/office/drawing/2014/main" id="{D0EBDAFA-0B61-4238-BBAA-3455FA7FD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46" name="Picture 47" descr="spacer">
          <a:extLst>
            <a:ext uri="{FF2B5EF4-FFF2-40B4-BE49-F238E27FC236}">
              <a16:creationId xmlns:a16="http://schemas.microsoft.com/office/drawing/2014/main" id="{F5291DB5-0A93-4254-8C05-92AC0CDF0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47" name="Picture 48" descr="spacer">
          <a:extLst>
            <a:ext uri="{FF2B5EF4-FFF2-40B4-BE49-F238E27FC236}">
              <a16:creationId xmlns:a16="http://schemas.microsoft.com/office/drawing/2014/main" id="{87FCC43E-E6DD-409D-A949-AC882ED9F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48" name="Picture 49" descr="spacer">
          <a:extLst>
            <a:ext uri="{FF2B5EF4-FFF2-40B4-BE49-F238E27FC236}">
              <a16:creationId xmlns:a16="http://schemas.microsoft.com/office/drawing/2014/main" id="{47D5AA46-A13A-41D8-B9E0-D63E50977B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49" name="Picture 50" descr="spacer">
          <a:extLst>
            <a:ext uri="{FF2B5EF4-FFF2-40B4-BE49-F238E27FC236}">
              <a16:creationId xmlns:a16="http://schemas.microsoft.com/office/drawing/2014/main" id="{95A53B19-BEAB-4579-9CCC-DD5DB1DB2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50" name="Picture 51" descr="spacer">
          <a:extLst>
            <a:ext uri="{FF2B5EF4-FFF2-40B4-BE49-F238E27FC236}">
              <a16:creationId xmlns:a16="http://schemas.microsoft.com/office/drawing/2014/main" id="{60101FBE-37BE-4294-B4D2-EB93DF618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51" name="Picture 52" descr="spacer">
          <a:extLst>
            <a:ext uri="{FF2B5EF4-FFF2-40B4-BE49-F238E27FC236}">
              <a16:creationId xmlns:a16="http://schemas.microsoft.com/office/drawing/2014/main" id="{206225C2-9642-42EC-9F55-12DA1B458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52" name="Picture 53" descr="spacer">
          <a:extLst>
            <a:ext uri="{FF2B5EF4-FFF2-40B4-BE49-F238E27FC236}">
              <a16:creationId xmlns:a16="http://schemas.microsoft.com/office/drawing/2014/main" id="{F1EF1D10-CAD5-4A47-87C6-51967D422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19050</xdr:colOff>
      <xdr:row>3</xdr:row>
      <xdr:rowOff>19050</xdr:rowOff>
    </xdr:to>
    <xdr:pic>
      <xdr:nvPicPr>
        <xdr:cNvPr id="53" name="Picture 55" descr="spacer">
          <a:extLst>
            <a:ext uri="{FF2B5EF4-FFF2-40B4-BE49-F238E27FC236}">
              <a16:creationId xmlns:a16="http://schemas.microsoft.com/office/drawing/2014/main" id="{EFD7DFED-1A16-48A0-90A3-907477AB0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</xdr:col>
      <xdr:colOff>211455</xdr:colOff>
      <xdr:row>3</xdr:row>
      <xdr:rowOff>19050</xdr:rowOff>
    </xdr:to>
    <xdr:pic>
      <xdr:nvPicPr>
        <xdr:cNvPr id="54" name="Picture 56" descr="spacer">
          <a:extLst>
            <a:ext uri="{FF2B5EF4-FFF2-40B4-BE49-F238E27FC236}">
              <a16:creationId xmlns:a16="http://schemas.microsoft.com/office/drawing/2014/main" id="{E7EECA60-04A3-4E60-A2C3-7F953ECF7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57150</xdr:rowOff>
    </xdr:to>
    <xdr:pic>
      <xdr:nvPicPr>
        <xdr:cNvPr id="55" name="Picture 57" descr="spacer">
          <a:extLst>
            <a:ext uri="{FF2B5EF4-FFF2-40B4-BE49-F238E27FC236}">
              <a16:creationId xmlns:a16="http://schemas.microsoft.com/office/drawing/2014/main" id="{D703FBBA-2313-43A5-82E6-9600D7D0F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57150</xdr:rowOff>
    </xdr:to>
    <xdr:pic>
      <xdr:nvPicPr>
        <xdr:cNvPr id="56" name="Picture 58" descr="spacer">
          <a:extLst>
            <a:ext uri="{FF2B5EF4-FFF2-40B4-BE49-F238E27FC236}">
              <a16:creationId xmlns:a16="http://schemas.microsoft.com/office/drawing/2014/main" id="{B4421A18-3C84-4320-ACB9-85764AEE8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</xdr:col>
      <xdr:colOff>211455</xdr:colOff>
      <xdr:row>3</xdr:row>
      <xdr:rowOff>19050</xdr:rowOff>
    </xdr:to>
    <xdr:pic>
      <xdr:nvPicPr>
        <xdr:cNvPr id="57" name="Picture 76" descr="spacer">
          <a:extLst>
            <a:ext uri="{FF2B5EF4-FFF2-40B4-BE49-F238E27FC236}">
              <a16:creationId xmlns:a16="http://schemas.microsoft.com/office/drawing/2014/main" id="{43CE673C-15DD-4ADE-95BE-8AE897CBB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58" name="Picture 79" descr="spacer">
          <a:extLst>
            <a:ext uri="{FF2B5EF4-FFF2-40B4-BE49-F238E27FC236}">
              <a16:creationId xmlns:a16="http://schemas.microsoft.com/office/drawing/2014/main" id="{E7740FF6-5078-49D7-914E-D12947740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19050</xdr:colOff>
      <xdr:row>3</xdr:row>
      <xdr:rowOff>19050</xdr:rowOff>
    </xdr:to>
    <xdr:pic>
      <xdr:nvPicPr>
        <xdr:cNvPr id="59" name="Picture 80" descr="spacer">
          <a:extLst>
            <a:ext uri="{FF2B5EF4-FFF2-40B4-BE49-F238E27FC236}">
              <a16:creationId xmlns:a16="http://schemas.microsoft.com/office/drawing/2014/main" id="{73B18A13-3709-4587-8CB3-8135249B6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60" name="Picture 82" descr="spacer">
          <a:extLst>
            <a:ext uri="{FF2B5EF4-FFF2-40B4-BE49-F238E27FC236}">
              <a16:creationId xmlns:a16="http://schemas.microsoft.com/office/drawing/2014/main" id="{8E6F4A44-CCDE-4F29-A3D8-8380F700A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61" name="Picture 83" descr="spacer">
          <a:extLst>
            <a:ext uri="{FF2B5EF4-FFF2-40B4-BE49-F238E27FC236}">
              <a16:creationId xmlns:a16="http://schemas.microsoft.com/office/drawing/2014/main" id="{6475E57D-C2FD-4A75-9EE7-8B9317EDD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62" name="Picture 84" descr="spacer">
          <a:extLst>
            <a:ext uri="{FF2B5EF4-FFF2-40B4-BE49-F238E27FC236}">
              <a16:creationId xmlns:a16="http://schemas.microsoft.com/office/drawing/2014/main" id="{8CDFE23B-1548-4FB8-8DBD-786539AB7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63" name="Picture 85" descr="spacer">
          <a:extLst>
            <a:ext uri="{FF2B5EF4-FFF2-40B4-BE49-F238E27FC236}">
              <a16:creationId xmlns:a16="http://schemas.microsoft.com/office/drawing/2014/main" id="{F9406985-0BAA-48E2-A07F-AB3D310E9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64" name="Picture 86" descr="spacer">
          <a:extLst>
            <a:ext uri="{FF2B5EF4-FFF2-40B4-BE49-F238E27FC236}">
              <a16:creationId xmlns:a16="http://schemas.microsoft.com/office/drawing/2014/main" id="{5ABDCDC6-8588-432B-B2A9-A3FB14A32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65" name="Picture 87" descr="spacer">
          <a:extLst>
            <a:ext uri="{FF2B5EF4-FFF2-40B4-BE49-F238E27FC236}">
              <a16:creationId xmlns:a16="http://schemas.microsoft.com/office/drawing/2014/main" id="{7E8999A7-605F-4F25-BDEF-D520C7BE5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66" name="Picture 88" descr="spacer">
          <a:extLst>
            <a:ext uri="{FF2B5EF4-FFF2-40B4-BE49-F238E27FC236}">
              <a16:creationId xmlns:a16="http://schemas.microsoft.com/office/drawing/2014/main" id="{553C4859-EB71-4977-B7B4-5E46FFB5E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67" name="Picture 89" descr="spacer">
          <a:extLst>
            <a:ext uri="{FF2B5EF4-FFF2-40B4-BE49-F238E27FC236}">
              <a16:creationId xmlns:a16="http://schemas.microsoft.com/office/drawing/2014/main" id="{8EFE9753-27AA-4C7C-B341-509AA5FDF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68" name="Picture 90" descr="spacer">
          <a:extLst>
            <a:ext uri="{FF2B5EF4-FFF2-40B4-BE49-F238E27FC236}">
              <a16:creationId xmlns:a16="http://schemas.microsoft.com/office/drawing/2014/main" id="{F4632371-6C08-42AC-94ED-7B7AC0B63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201930</xdr:colOff>
      <xdr:row>3</xdr:row>
      <xdr:rowOff>19050</xdr:rowOff>
    </xdr:to>
    <xdr:pic>
      <xdr:nvPicPr>
        <xdr:cNvPr id="69" name="Picture 91" descr="spacer">
          <a:extLst>
            <a:ext uri="{FF2B5EF4-FFF2-40B4-BE49-F238E27FC236}">
              <a16:creationId xmlns:a16="http://schemas.microsoft.com/office/drawing/2014/main" id="{17602656-F5B7-4145-AED7-D2F3F33A4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38303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19050</xdr:colOff>
      <xdr:row>3</xdr:row>
      <xdr:rowOff>19050</xdr:rowOff>
    </xdr:to>
    <xdr:pic>
      <xdr:nvPicPr>
        <xdr:cNvPr id="70" name="Picture 92" descr="spacer">
          <a:extLst>
            <a:ext uri="{FF2B5EF4-FFF2-40B4-BE49-F238E27FC236}">
              <a16:creationId xmlns:a16="http://schemas.microsoft.com/office/drawing/2014/main" id="{F720F4A4-2B82-4A58-BC8C-3A2C97C49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71" name="Picture 96" descr="spacer">
          <a:extLst>
            <a:ext uri="{FF2B5EF4-FFF2-40B4-BE49-F238E27FC236}">
              <a16:creationId xmlns:a16="http://schemas.microsoft.com/office/drawing/2014/main" id="{528CF525-A795-4E79-9789-BB3255C7E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19050</xdr:colOff>
      <xdr:row>3</xdr:row>
      <xdr:rowOff>19050</xdr:rowOff>
    </xdr:to>
    <xdr:pic>
      <xdr:nvPicPr>
        <xdr:cNvPr id="72" name="Picture 97" descr="spacer">
          <a:extLst>
            <a:ext uri="{FF2B5EF4-FFF2-40B4-BE49-F238E27FC236}">
              <a16:creationId xmlns:a16="http://schemas.microsoft.com/office/drawing/2014/main" id="{5D0C4E4D-9C59-4DDC-A7ED-51771CB77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73" name="Picture 99" descr="spacer">
          <a:extLst>
            <a:ext uri="{FF2B5EF4-FFF2-40B4-BE49-F238E27FC236}">
              <a16:creationId xmlns:a16="http://schemas.microsoft.com/office/drawing/2014/main" id="{FF055FAC-B56F-464E-AAD6-B996B430D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74" name="Picture 100" descr="spacer">
          <a:extLst>
            <a:ext uri="{FF2B5EF4-FFF2-40B4-BE49-F238E27FC236}">
              <a16:creationId xmlns:a16="http://schemas.microsoft.com/office/drawing/2014/main" id="{158E3C15-334D-4CC0-A937-B6A9FDBA1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75" name="Picture 101" descr="spacer">
          <a:extLst>
            <a:ext uri="{FF2B5EF4-FFF2-40B4-BE49-F238E27FC236}">
              <a16:creationId xmlns:a16="http://schemas.microsoft.com/office/drawing/2014/main" id="{CA4CD214-5466-470B-A8C3-3826E613C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76" name="Picture 102" descr="spacer">
          <a:extLst>
            <a:ext uri="{FF2B5EF4-FFF2-40B4-BE49-F238E27FC236}">
              <a16:creationId xmlns:a16="http://schemas.microsoft.com/office/drawing/2014/main" id="{F966811C-B715-4DC7-834B-44C290CD1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77" name="Picture 103" descr="spacer">
          <a:extLst>
            <a:ext uri="{FF2B5EF4-FFF2-40B4-BE49-F238E27FC236}">
              <a16:creationId xmlns:a16="http://schemas.microsoft.com/office/drawing/2014/main" id="{49E64EEA-87FC-424C-90F7-F0033E943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78" name="Picture 104" descr="spacer">
          <a:extLst>
            <a:ext uri="{FF2B5EF4-FFF2-40B4-BE49-F238E27FC236}">
              <a16:creationId xmlns:a16="http://schemas.microsoft.com/office/drawing/2014/main" id="{B3B7313F-2CF5-40FE-8F5F-A5891FD0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79" name="Picture 105" descr="spacer">
          <a:extLst>
            <a:ext uri="{FF2B5EF4-FFF2-40B4-BE49-F238E27FC236}">
              <a16:creationId xmlns:a16="http://schemas.microsoft.com/office/drawing/2014/main" id="{503CBE06-3270-4B27-A5E0-EA090D63D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80" name="Picture 106" descr="spacer">
          <a:extLst>
            <a:ext uri="{FF2B5EF4-FFF2-40B4-BE49-F238E27FC236}">
              <a16:creationId xmlns:a16="http://schemas.microsoft.com/office/drawing/2014/main" id="{3E9453AF-27B0-40C0-871A-889A49B60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9525</xdr:rowOff>
    </xdr:to>
    <xdr:pic>
      <xdr:nvPicPr>
        <xdr:cNvPr id="81" name="Picture 107" descr="spacer">
          <a:extLst>
            <a:ext uri="{FF2B5EF4-FFF2-40B4-BE49-F238E27FC236}">
              <a16:creationId xmlns:a16="http://schemas.microsoft.com/office/drawing/2014/main" id="{35DA55AE-F34D-49E9-A578-77E6042D3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201930</xdr:colOff>
      <xdr:row>3</xdr:row>
      <xdr:rowOff>19050</xdr:rowOff>
    </xdr:to>
    <xdr:pic>
      <xdr:nvPicPr>
        <xdr:cNvPr id="82" name="Picture 108" descr="spacer">
          <a:extLst>
            <a:ext uri="{FF2B5EF4-FFF2-40B4-BE49-F238E27FC236}">
              <a16:creationId xmlns:a16="http://schemas.microsoft.com/office/drawing/2014/main" id="{513DF0B6-4817-4565-B70D-5693CF815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38303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19050</xdr:colOff>
      <xdr:row>3</xdr:row>
      <xdr:rowOff>19050</xdr:rowOff>
    </xdr:to>
    <xdr:pic>
      <xdr:nvPicPr>
        <xdr:cNvPr id="83" name="Picture 109" descr="spacer">
          <a:extLst>
            <a:ext uri="{FF2B5EF4-FFF2-40B4-BE49-F238E27FC236}">
              <a16:creationId xmlns:a16="http://schemas.microsoft.com/office/drawing/2014/main" id="{E920C59B-96FF-45B1-801C-1ADD31A699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84" name="Picture 112" descr="spacer">
          <a:extLst>
            <a:ext uri="{FF2B5EF4-FFF2-40B4-BE49-F238E27FC236}">
              <a16:creationId xmlns:a16="http://schemas.microsoft.com/office/drawing/2014/main" id="{01C9753A-D01D-4AE9-BE91-523A4D270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57150</xdr:rowOff>
    </xdr:to>
    <xdr:pic>
      <xdr:nvPicPr>
        <xdr:cNvPr id="85" name="Picture 134" descr="spacer">
          <a:extLst>
            <a:ext uri="{FF2B5EF4-FFF2-40B4-BE49-F238E27FC236}">
              <a16:creationId xmlns:a16="http://schemas.microsoft.com/office/drawing/2014/main" id="{7C87E47E-2276-42CE-8C9B-B188EA1E4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86" name="Picture 135" descr="spacer">
          <a:extLst>
            <a:ext uri="{FF2B5EF4-FFF2-40B4-BE49-F238E27FC236}">
              <a16:creationId xmlns:a16="http://schemas.microsoft.com/office/drawing/2014/main" id="{D2D88466-1A0E-4733-8DCB-D2606AD74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57150</xdr:rowOff>
    </xdr:to>
    <xdr:pic>
      <xdr:nvPicPr>
        <xdr:cNvPr id="87" name="Picture 157" descr="spacer">
          <a:extLst>
            <a:ext uri="{FF2B5EF4-FFF2-40B4-BE49-F238E27FC236}">
              <a16:creationId xmlns:a16="http://schemas.microsoft.com/office/drawing/2014/main" id="{9F3FBD2C-4342-45FB-A626-5E8CFF38D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88" name="Picture 161" descr="spacer">
          <a:extLst>
            <a:ext uri="{FF2B5EF4-FFF2-40B4-BE49-F238E27FC236}">
              <a16:creationId xmlns:a16="http://schemas.microsoft.com/office/drawing/2014/main" id="{9ED5AE4E-2F68-4A7D-9DCB-2559390C1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89" name="Picture 163" descr="spacer">
          <a:extLst>
            <a:ext uri="{FF2B5EF4-FFF2-40B4-BE49-F238E27FC236}">
              <a16:creationId xmlns:a16="http://schemas.microsoft.com/office/drawing/2014/main" id="{D725FB3E-2714-499A-977E-CE2C4C7D7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90" name="Picture 167" descr="spacer">
          <a:extLst>
            <a:ext uri="{FF2B5EF4-FFF2-40B4-BE49-F238E27FC236}">
              <a16:creationId xmlns:a16="http://schemas.microsoft.com/office/drawing/2014/main" id="{301B3F00-E4FF-48B1-BFAC-5F5E46B18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91" name="Picture 169" descr="spacer">
          <a:extLst>
            <a:ext uri="{FF2B5EF4-FFF2-40B4-BE49-F238E27FC236}">
              <a16:creationId xmlns:a16="http://schemas.microsoft.com/office/drawing/2014/main" id="{D64BDBF7-81BF-46FA-A70A-C3E3FA2E9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92" name="Picture 173" descr="spacer">
          <a:extLst>
            <a:ext uri="{FF2B5EF4-FFF2-40B4-BE49-F238E27FC236}">
              <a16:creationId xmlns:a16="http://schemas.microsoft.com/office/drawing/2014/main" id="{0E1DCA21-581D-4850-8EF7-AA47A4142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93" name="Picture 175" descr="spacer">
          <a:extLst>
            <a:ext uri="{FF2B5EF4-FFF2-40B4-BE49-F238E27FC236}">
              <a16:creationId xmlns:a16="http://schemas.microsoft.com/office/drawing/2014/main" id="{18ACCF74-2999-4C92-B9AB-B7A959736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94" name="Picture 179" descr="spacer">
          <a:extLst>
            <a:ext uri="{FF2B5EF4-FFF2-40B4-BE49-F238E27FC236}">
              <a16:creationId xmlns:a16="http://schemas.microsoft.com/office/drawing/2014/main" id="{E6272FA3-2689-4241-8446-8A79BF0ED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95" name="Picture 181" descr="spacer">
          <a:extLst>
            <a:ext uri="{FF2B5EF4-FFF2-40B4-BE49-F238E27FC236}">
              <a16:creationId xmlns:a16="http://schemas.microsoft.com/office/drawing/2014/main" id="{5DA3185F-7565-44D4-8BF7-CA37397E5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96" name="Picture 185" descr="spacer">
          <a:extLst>
            <a:ext uri="{FF2B5EF4-FFF2-40B4-BE49-F238E27FC236}">
              <a16:creationId xmlns:a16="http://schemas.microsoft.com/office/drawing/2014/main" id="{6717D2F9-0BAB-4E3F-B06D-BA5A52EA3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97" name="Picture 187" descr="spacer">
          <a:extLst>
            <a:ext uri="{FF2B5EF4-FFF2-40B4-BE49-F238E27FC236}">
              <a16:creationId xmlns:a16="http://schemas.microsoft.com/office/drawing/2014/main" id="{4340BFCA-A781-4D20-A963-5CDBA31E5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98" name="Picture 191" descr="spacer">
          <a:extLst>
            <a:ext uri="{FF2B5EF4-FFF2-40B4-BE49-F238E27FC236}">
              <a16:creationId xmlns:a16="http://schemas.microsoft.com/office/drawing/2014/main" id="{B11AEC7E-D3FD-4FBE-9085-A5FED7815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99" name="Picture 193" descr="spacer">
          <a:extLst>
            <a:ext uri="{FF2B5EF4-FFF2-40B4-BE49-F238E27FC236}">
              <a16:creationId xmlns:a16="http://schemas.microsoft.com/office/drawing/2014/main" id="{B57EBAE6-CB08-412E-8D12-408EC4188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100" name="Picture 197" descr="spacer">
          <a:extLst>
            <a:ext uri="{FF2B5EF4-FFF2-40B4-BE49-F238E27FC236}">
              <a16:creationId xmlns:a16="http://schemas.microsoft.com/office/drawing/2014/main" id="{5682B87B-E444-4D4A-847E-2A7D67956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101" name="Picture 199" descr="spacer">
          <a:extLst>
            <a:ext uri="{FF2B5EF4-FFF2-40B4-BE49-F238E27FC236}">
              <a16:creationId xmlns:a16="http://schemas.microsoft.com/office/drawing/2014/main" id="{CCBB1A11-D7EC-4443-A7B5-F7B49D735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102" name="Picture 203" descr="spacer">
          <a:extLst>
            <a:ext uri="{FF2B5EF4-FFF2-40B4-BE49-F238E27FC236}">
              <a16:creationId xmlns:a16="http://schemas.microsoft.com/office/drawing/2014/main" id="{F40032E2-A8C0-4D58-ADBD-F1E4E1855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103" name="Picture 205" descr="spacer">
          <a:extLst>
            <a:ext uri="{FF2B5EF4-FFF2-40B4-BE49-F238E27FC236}">
              <a16:creationId xmlns:a16="http://schemas.microsoft.com/office/drawing/2014/main" id="{B8955D41-55E6-44BC-A43B-0D5F7935F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104" name="Picture 209" descr="spacer">
          <a:extLst>
            <a:ext uri="{FF2B5EF4-FFF2-40B4-BE49-F238E27FC236}">
              <a16:creationId xmlns:a16="http://schemas.microsoft.com/office/drawing/2014/main" id="{36F448E3-AE70-47AF-BAAA-F6FBD5E47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105" name="Picture 211" descr="spacer">
          <a:extLst>
            <a:ext uri="{FF2B5EF4-FFF2-40B4-BE49-F238E27FC236}">
              <a16:creationId xmlns:a16="http://schemas.microsoft.com/office/drawing/2014/main" id="{DB74C56B-36A2-4A91-BB6A-4F9E7178A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106" name="Picture 215" descr="spacer">
          <a:extLst>
            <a:ext uri="{FF2B5EF4-FFF2-40B4-BE49-F238E27FC236}">
              <a16:creationId xmlns:a16="http://schemas.microsoft.com/office/drawing/2014/main" id="{43B36C23-1AC2-4065-A6F0-4136AE7CC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107" name="Picture 217" descr="spacer">
          <a:extLst>
            <a:ext uri="{FF2B5EF4-FFF2-40B4-BE49-F238E27FC236}">
              <a16:creationId xmlns:a16="http://schemas.microsoft.com/office/drawing/2014/main" id="{943B4C82-9E13-437F-9744-86E7CBC09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108" name="Picture 221" descr="spacer">
          <a:extLst>
            <a:ext uri="{FF2B5EF4-FFF2-40B4-BE49-F238E27FC236}">
              <a16:creationId xmlns:a16="http://schemas.microsoft.com/office/drawing/2014/main" id="{57C875C6-57CF-4909-91E2-37C99675B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109" name="Picture 223" descr="spacer">
          <a:extLst>
            <a:ext uri="{FF2B5EF4-FFF2-40B4-BE49-F238E27FC236}">
              <a16:creationId xmlns:a16="http://schemas.microsoft.com/office/drawing/2014/main" id="{04B0E5C6-DE78-452F-BAE6-82304CFF2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110" name="Picture 227" descr="spacer">
          <a:extLst>
            <a:ext uri="{FF2B5EF4-FFF2-40B4-BE49-F238E27FC236}">
              <a16:creationId xmlns:a16="http://schemas.microsoft.com/office/drawing/2014/main" id="{1CEDC850-7283-4C08-BAA0-CE76DB9BF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111" name="Picture 229" descr="spacer">
          <a:extLst>
            <a:ext uri="{FF2B5EF4-FFF2-40B4-BE49-F238E27FC236}">
              <a16:creationId xmlns:a16="http://schemas.microsoft.com/office/drawing/2014/main" id="{9616B8B9-D8D3-41CF-B4A2-BE25EF5B8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112" name="Picture 233" descr="spacer">
          <a:extLst>
            <a:ext uri="{FF2B5EF4-FFF2-40B4-BE49-F238E27FC236}">
              <a16:creationId xmlns:a16="http://schemas.microsoft.com/office/drawing/2014/main" id="{5AE04770-F546-4F63-9399-70F792456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113" name="Picture 235" descr="spacer">
          <a:extLst>
            <a:ext uri="{FF2B5EF4-FFF2-40B4-BE49-F238E27FC236}">
              <a16:creationId xmlns:a16="http://schemas.microsoft.com/office/drawing/2014/main" id="{95FD5539-7A66-409E-BE62-D88749992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114" name="Picture 239" descr="spacer">
          <a:extLst>
            <a:ext uri="{FF2B5EF4-FFF2-40B4-BE49-F238E27FC236}">
              <a16:creationId xmlns:a16="http://schemas.microsoft.com/office/drawing/2014/main" id="{6365CFC0-6E8D-433D-863B-3A1C5B452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115" name="Picture 241" descr="spacer">
          <a:extLst>
            <a:ext uri="{FF2B5EF4-FFF2-40B4-BE49-F238E27FC236}">
              <a16:creationId xmlns:a16="http://schemas.microsoft.com/office/drawing/2014/main" id="{643DB5C5-6D4C-41A3-9623-7241F524C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16" name="Picture 242" descr="spacer">
          <a:extLst>
            <a:ext uri="{FF2B5EF4-FFF2-40B4-BE49-F238E27FC236}">
              <a16:creationId xmlns:a16="http://schemas.microsoft.com/office/drawing/2014/main" id="{49087C7F-7F45-47A4-9DF8-C2345E54F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17" name="Picture 260" descr="spacer">
          <a:extLst>
            <a:ext uri="{FF2B5EF4-FFF2-40B4-BE49-F238E27FC236}">
              <a16:creationId xmlns:a16="http://schemas.microsoft.com/office/drawing/2014/main" id="{60C0158A-9D31-4020-8AA7-D0D0EDF7E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18" name="Picture 278" descr="spacer">
          <a:extLst>
            <a:ext uri="{FF2B5EF4-FFF2-40B4-BE49-F238E27FC236}">
              <a16:creationId xmlns:a16="http://schemas.microsoft.com/office/drawing/2014/main" id="{4F164225-DB9A-440F-95B5-C176E6ECC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201930</xdr:colOff>
      <xdr:row>3</xdr:row>
      <xdr:rowOff>19050</xdr:rowOff>
    </xdr:to>
    <xdr:pic>
      <xdr:nvPicPr>
        <xdr:cNvPr id="119" name="Picture 292" descr="spacer">
          <a:extLst>
            <a:ext uri="{FF2B5EF4-FFF2-40B4-BE49-F238E27FC236}">
              <a16:creationId xmlns:a16="http://schemas.microsoft.com/office/drawing/2014/main" id="{FBFAA97A-495E-4FF8-A033-19B007C1B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38303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201930</xdr:colOff>
      <xdr:row>3</xdr:row>
      <xdr:rowOff>19050</xdr:rowOff>
    </xdr:to>
    <xdr:pic>
      <xdr:nvPicPr>
        <xdr:cNvPr id="120" name="Picture 293" descr="spacer">
          <a:extLst>
            <a:ext uri="{FF2B5EF4-FFF2-40B4-BE49-F238E27FC236}">
              <a16:creationId xmlns:a16="http://schemas.microsoft.com/office/drawing/2014/main" id="{9F571350-57B4-4941-90B0-272B8217E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38303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121" name="Picture 297" descr="spacer">
          <a:extLst>
            <a:ext uri="{FF2B5EF4-FFF2-40B4-BE49-F238E27FC236}">
              <a16:creationId xmlns:a16="http://schemas.microsoft.com/office/drawing/2014/main" id="{17EF8AC2-7E87-4D88-ACAA-BC4B09E05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122" name="Picture 299" descr="spacer">
          <a:extLst>
            <a:ext uri="{FF2B5EF4-FFF2-40B4-BE49-F238E27FC236}">
              <a16:creationId xmlns:a16="http://schemas.microsoft.com/office/drawing/2014/main" id="{FDDFF9B8-09CF-4178-9BE4-A27A869E8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201930</xdr:colOff>
      <xdr:row>3</xdr:row>
      <xdr:rowOff>19050</xdr:rowOff>
    </xdr:to>
    <xdr:pic>
      <xdr:nvPicPr>
        <xdr:cNvPr id="123" name="Picture 301" descr="spacer">
          <a:extLst>
            <a:ext uri="{FF2B5EF4-FFF2-40B4-BE49-F238E27FC236}">
              <a16:creationId xmlns:a16="http://schemas.microsoft.com/office/drawing/2014/main" id="{3BEE3D8B-DBE2-4E06-9FB8-ABA4B6FE2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38303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201930</xdr:colOff>
      <xdr:row>3</xdr:row>
      <xdr:rowOff>19050</xdr:rowOff>
    </xdr:to>
    <xdr:pic>
      <xdr:nvPicPr>
        <xdr:cNvPr id="124" name="Picture 302" descr="spacer">
          <a:extLst>
            <a:ext uri="{FF2B5EF4-FFF2-40B4-BE49-F238E27FC236}">
              <a16:creationId xmlns:a16="http://schemas.microsoft.com/office/drawing/2014/main" id="{490B9D5D-449B-4F8C-A222-428E6EDC7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38303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125" name="Picture 306" descr="spacer">
          <a:extLst>
            <a:ext uri="{FF2B5EF4-FFF2-40B4-BE49-F238E27FC236}">
              <a16:creationId xmlns:a16="http://schemas.microsoft.com/office/drawing/2014/main" id="{C8EFE480-7237-4A8D-9422-0E350AF6B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3</xdr:col>
      <xdr:colOff>382905</xdr:colOff>
      <xdr:row>3</xdr:row>
      <xdr:rowOff>19050</xdr:rowOff>
    </xdr:to>
    <xdr:pic>
      <xdr:nvPicPr>
        <xdr:cNvPr id="126" name="Picture 308" descr="spacer">
          <a:extLst>
            <a:ext uri="{FF2B5EF4-FFF2-40B4-BE49-F238E27FC236}">
              <a16:creationId xmlns:a16="http://schemas.microsoft.com/office/drawing/2014/main" id="{25818648-B7F1-4332-B28E-9B1FB1CC6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5780" y="0"/>
          <a:ext cx="156400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27" name="Picture 309" descr="spacer">
          <a:extLst>
            <a:ext uri="{FF2B5EF4-FFF2-40B4-BE49-F238E27FC236}">
              <a16:creationId xmlns:a16="http://schemas.microsoft.com/office/drawing/2014/main" id="{DE47B58D-A854-4330-8662-B8B0EC8C3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28" name="Picture 322" descr="spacer">
          <a:extLst>
            <a:ext uri="{FF2B5EF4-FFF2-40B4-BE49-F238E27FC236}">
              <a16:creationId xmlns:a16="http://schemas.microsoft.com/office/drawing/2014/main" id="{577D05CB-7CF2-40AB-A502-90BCB1492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29" name="Picture 340" descr="spacer">
          <a:extLst>
            <a:ext uri="{FF2B5EF4-FFF2-40B4-BE49-F238E27FC236}">
              <a16:creationId xmlns:a16="http://schemas.microsoft.com/office/drawing/2014/main" id="{38E74B31-615F-424F-9A11-280E22C4C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30" name="Picture 355" descr="spacer">
          <a:extLst>
            <a:ext uri="{FF2B5EF4-FFF2-40B4-BE49-F238E27FC236}">
              <a16:creationId xmlns:a16="http://schemas.microsoft.com/office/drawing/2014/main" id="{F9486A63-61D1-4B72-84CD-4360F289C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31" name="Picture 373" descr="spacer">
          <a:extLst>
            <a:ext uri="{FF2B5EF4-FFF2-40B4-BE49-F238E27FC236}">
              <a16:creationId xmlns:a16="http://schemas.microsoft.com/office/drawing/2014/main" id="{4B68C796-94A5-452F-A54F-BEBD8EDF4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32" name="Picture 390" descr="spacer">
          <a:extLst>
            <a:ext uri="{FF2B5EF4-FFF2-40B4-BE49-F238E27FC236}">
              <a16:creationId xmlns:a16="http://schemas.microsoft.com/office/drawing/2014/main" id="{6ACF741F-96F3-466A-877A-5B4E7C89B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33" name="Picture 407" descr="spacer">
          <a:extLst>
            <a:ext uri="{FF2B5EF4-FFF2-40B4-BE49-F238E27FC236}">
              <a16:creationId xmlns:a16="http://schemas.microsoft.com/office/drawing/2014/main" id="{10CB79B1-D3F1-4F0A-A5E8-1E8DDC306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34" name="Picture 425" descr="spacer">
          <a:extLst>
            <a:ext uri="{FF2B5EF4-FFF2-40B4-BE49-F238E27FC236}">
              <a16:creationId xmlns:a16="http://schemas.microsoft.com/office/drawing/2014/main" id="{864CE476-EE13-4051-8A0C-3175959EF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35" name="Picture 442" descr="spacer">
          <a:extLst>
            <a:ext uri="{FF2B5EF4-FFF2-40B4-BE49-F238E27FC236}">
              <a16:creationId xmlns:a16="http://schemas.microsoft.com/office/drawing/2014/main" id="{90AD173B-DF6B-4D45-8D7C-EEE3A5C81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36" name="Picture 459" descr="spacer">
          <a:extLst>
            <a:ext uri="{FF2B5EF4-FFF2-40B4-BE49-F238E27FC236}">
              <a16:creationId xmlns:a16="http://schemas.microsoft.com/office/drawing/2014/main" id="{CF1E386A-CCDE-44D1-B40F-960ED4F4C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37" name="Picture 476" descr="spacer">
          <a:extLst>
            <a:ext uri="{FF2B5EF4-FFF2-40B4-BE49-F238E27FC236}">
              <a16:creationId xmlns:a16="http://schemas.microsoft.com/office/drawing/2014/main" id="{A64AC10C-4D6A-41B1-A66E-2577789F4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38" name="Picture 494" descr="spacer">
          <a:extLst>
            <a:ext uri="{FF2B5EF4-FFF2-40B4-BE49-F238E27FC236}">
              <a16:creationId xmlns:a16="http://schemas.microsoft.com/office/drawing/2014/main" id="{768F4F8D-2587-4A34-A7A2-1DA06A1ED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39" name="Picture 512" descr="spacer">
          <a:extLst>
            <a:ext uri="{FF2B5EF4-FFF2-40B4-BE49-F238E27FC236}">
              <a16:creationId xmlns:a16="http://schemas.microsoft.com/office/drawing/2014/main" id="{6E40D3F9-E020-4F46-8072-BD66FED92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40" name="Picture 529" descr="spacer">
          <a:extLst>
            <a:ext uri="{FF2B5EF4-FFF2-40B4-BE49-F238E27FC236}">
              <a16:creationId xmlns:a16="http://schemas.microsoft.com/office/drawing/2014/main" id="{BC6AFCB2-D9E5-427F-9517-8530E49EF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41" name="Picture 547" descr="spacer">
          <a:extLst>
            <a:ext uri="{FF2B5EF4-FFF2-40B4-BE49-F238E27FC236}">
              <a16:creationId xmlns:a16="http://schemas.microsoft.com/office/drawing/2014/main" id="{4ECE47F4-8380-4372-8C50-5D171E006C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42" name="Picture 567" descr="spacer">
          <a:extLst>
            <a:ext uri="{FF2B5EF4-FFF2-40B4-BE49-F238E27FC236}">
              <a16:creationId xmlns:a16="http://schemas.microsoft.com/office/drawing/2014/main" id="{6B2DF0B5-727B-49E6-8EA4-D4F8D059CC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43" name="Picture 580" descr="spacer">
          <a:extLst>
            <a:ext uri="{FF2B5EF4-FFF2-40B4-BE49-F238E27FC236}">
              <a16:creationId xmlns:a16="http://schemas.microsoft.com/office/drawing/2014/main" id="{5361A544-52E3-4D55-9538-1C4F26BD6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44" name="Picture 593" descr="spacer">
          <a:extLst>
            <a:ext uri="{FF2B5EF4-FFF2-40B4-BE49-F238E27FC236}">
              <a16:creationId xmlns:a16="http://schemas.microsoft.com/office/drawing/2014/main" id="{AFEB4EBE-D10D-4762-BAF9-8F92C0F23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45" name="Picture 611" descr="spacer">
          <a:extLst>
            <a:ext uri="{FF2B5EF4-FFF2-40B4-BE49-F238E27FC236}">
              <a16:creationId xmlns:a16="http://schemas.microsoft.com/office/drawing/2014/main" id="{448F0DDC-1AA4-4CAD-8409-69B774DE1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46" name="Picture 629" descr="spacer">
          <a:extLst>
            <a:ext uri="{FF2B5EF4-FFF2-40B4-BE49-F238E27FC236}">
              <a16:creationId xmlns:a16="http://schemas.microsoft.com/office/drawing/2014/main" id="{52C8CC6F-C721-4165-B92D-635A7C36B4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47" name="Picture 646" descr="spacer">
          <a:extLst>
            <a:ext uri="{FF2B5EF4-FFF2-40B4-BE49-F238E27FC236}">
              <a16:creationId xmlns:a16="http://schemas.microsoft.com/office/drawing/2014/main" id="{9E4D4D4D-765F-43FD-9428-A90A6A94D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48" name="Picture 663" descr="spacer">
          <a:extLst>
            <a:ext uri="{FF2B5EF4-FFF2-40B4-BE49-F238E27FC236}">
              <a16:creationId xmlns:a16="http://schemas.microsoft.com/office/drawing/2014/main" id="{BBE7DFE9-0D32-4E60-ADF9-912EFABB1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49" name="Picture 681" descr="spacer">
          <a:extLst>
            <a:ext uri="{FF2B5EF4-FFF2-40B4-BE49-F238E27FC236}">
              <a16:creationId xmlns:a16="http://schemas.microsoft.com/office/drawing/2014/main" id="{C01BCFE6-E756-4EF1-B134-B3ECDA73C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50" name="Picture 700" descr="spacer">
          <a:extLst>
            <a:ext uri="{FF2B5EF4-FFF2-40B4-BE49-F238E27FC236}">
              <a16:creationId xmlns:a16="http://schemas.microsoft.com/office/drawing/2014/main" id="{14D16AC9-4801-47D2-8884-B53650B0F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51" name="Picture 717" descr="spacer">
          <a:extLst>
            <a:ext uri="{FF2B5EF4-FFF2-40B4-BE49-F238E27FC236}">
              <a16:creationId xmlns:a16="http://schemas.microsoft.com/office/drawing/2014/main" id="{73CCD5E3-6404-4FD0-A1FD-BBEBBE90E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52" name="Picture 736" descr="spacer">
          <a:extLst>
            <a:ext uri="{FF2B5EF4-FFF2-40B4-BE49-F238E27FC236}">
              <a16:creationId xmlns:a16="http://schemas.microsoft.com/office/drawing/2014/main" id="{8E983C69-1505-4700-91F4-D7A9EAB13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53" name="Picture 754" descr="spacer">
          <a:extLst>
            <a:ext uri="{FF2B5EF4-FFF2-40B4-BE49-F238E27FC236}">
              <a16:creationId xmlns:a16="http://schemas.microsoft.com/office/drawing/2014/main" id="{C68BE3BB-7847-40AB-A11F-98FA79DD92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54" name="Picture 771" descr="spacer">
          <a:extLst>
            <a:ext uri="{FF2B5EF4-FFF2-40B4-BE49-F238E27FC236}">
              <a16:creationId xmlns:a16="http://schemas.microsoft.com/office/drawing/2014/main" id="{3DD90280-2F21-4A94-A3AC-70C3C50E4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55" name="Picture 788" descr="spacer">
          <a:extLst>
            <a:ext uri="{FF2B5EF4-FFF2-40B4-BE49-F238E27FC236}">
              <a16:creationId xmlns:a16="http://schemas.microsoft.com/office/drawing/2014/main" id="{4EAAE0BF-34F8-4A89-BA77-455896167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56" name="Picture 806" descr="spacer">
          <a:extLst>
            <a:ext uri="{FF2B5EF4-FFF2-40B4-BE49-F238E27FC236}">
              <a16:creationId xmlns:a16="http://schemas.microsoft.com/office/drawing/2014/main" id="{7FC87DB6-5D33-4F32-8FF5-9A51AA9C3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57" name="Picture 824" descr="spacer">
          <a:extLst>
            <a:ext uri="{FF2B5EF4-FFF2-40B4-BE49-F238E27FC236}">
              <a16:creationId xmlns:a16="http://schemas.microsoft.com/office/drawing/2014/main" id="{8991BFE1-1A5D-4ACE-A259-2B3C28185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58" name="Picture 842" descr="spacer">
          <a:extLst>
            <a:ext uri="{FF2B5EF4-FFF2-40B4-BE49-F238E27FC236}">
              <a16:creationId xmlns:a16="http://schemas.microsoft.com/office/drawing/2014/main" id="{F616674D-0796-4C02-8D4F-5ECD38574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59" name="Picture 860" descr="spacer">
          <a:extLst>
            <a:ext uri="{FF2B5EF4-FFF2-40B4-BE49-F238E27FC236}">
              <a16:creationId xmlns:a16="http://schemas.microsoft.com/office/drawing/2014/main" id="{EA81BEC8-BDCB-4124-894D-E5F7B23DC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60" name="Picture 878" descr="spacer">
          <a:extLst>
            <a:ext uri="{FF2B5EF4-FFF2-40B4-BE49-F238E27FC236}">
              <a16:creationId xmlns:a16="http://schemas.microsoft.com/office/drawing/2014/main" id="{596D2D68-2B2A-4C5E-9E0E-623F9310E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61" name="Picture 896" descr="spacer">
          <a:extLst>
            <a:ext uri="{FF2B5EF4-FFF2-40B4-BE49-F238E27FC236}">
              <a16:creationId xmlns:a16="http://schemas.microsoft.com/office/drawing/2014/main" id="{454F5B55-E981-4A28-850A-E07200065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62" name="Picture 914" descr="spacer">
          <a:extLst>
            <a:ext uri="{FF2B5EF4-FFF2-40B4-BE49-F238E27FC236}">
              <a16:creationId xmlns:a16="http://schemas.microsoft.com/office/drawing/2014/main" id="{266DFCB9-7F94-45E9-93BB-2840165F3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63" name="Picture 932" descr="spacer">
          <a:extLst>
            <a:ext uri="{FF2B5EF4-FFF2-40B4-BE49-F238E27FC236}">
              <a16:creationId xmlns:a16="http://schemas.microsoft.com/office/drawing/2014/main" id="{AB055A1C-62EE-45E5-8C6F-843BC0F52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64" name="Picture 949" descr="spacer">
          <a:extLst>
            <a:ext uri="{FF2B5EF4-FFF2-40B4-BE49-F238E27FC236}">
              <a16:creationId xmlns:a16="http://schemas.microsoft.com/office/drawing/2014/main" id="{9BFEB280-6197-4C57-A581-23B0BF313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65" name="Picture 967" descr="spacer">
          <a:extLst>
            <a:ext uri="{FF2B5EF4-FFF2-40B4-BE49-F238E27FC236}">
              <a16:creationId xmlns:a16="http://schemas.microsoft.com/office/drawing/2014/main" id="{97482607-C0F7-4A54-9FB3-9CED12412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66" name="Picture 985" descr="spacer">
          <a:extLst>
            <a:ext uri="{FF2B5EF4-FFF2-40B4-BE49-F238E27FC236}">
              <a16:creationId xmlns:a16="http://schemas.microsoft.com/office/drawing/2014/main" id="{EA5E8028-A746-462C-A2E4-E3AC855F3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67" name="Picture 1002" descr="spacer">
          <a:extLst>
            <a:ext uri="{FF2B5EF4-FFF2-40B4-BE49-F238E27FC236}">
              <a16:creationId xmlns:a16="http://schemas.microsoft.com/office/drawing/2014/main" id="{306A8881-918F-4DDA-A9AB-78E7F0903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68" name="Picture 1020" descr="spacer">
          <a:extLst>
            <a:ext uri="{FF2B5EF4-FFF2-40B4-BE49-F238E27FC236}">
              <a16:creationId xmlns:a16="http://schemas.microsoft.com/office/drawing/2014/main" id="{7E7888DC-DD6D-4AB5-AF2D-F3754C89E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69" name="Picture 1038" descr="spacer">
          <a:extLst>
            <a:ext uri="{FF2B5EF4-FFF2-40B4-BE49-F238E27FC236}">
              <a16:creationId xmlns:a16="http://schemas.microsoft.com/office/drawing/2014/main" id="{40539616-D123-4D55-A325-9E96A7FEF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70" name="Picture 1056" descr="spacer">
          <a:extLst>
            <a:ext uri="{FF2B5EF4-FFF2-40B4-BE49-F238E27FC236}">
              <a16:creationId xmlns:a16="http://schemas.microsoft.com/office/drawing/2014/main" id="{57BC8642-DC0B-4BE7-A3B7-B05A8D06A0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71" name="Picture 1074" descr="spacer">
          <a:extLst>
            <a:ext uri="{FF2B5EF4-FFF2-40B4-BE49-F238E27FC236}">
              <a16:creationId xmlns:a16="http://schemas.microsoft.com/office/drawing/2014/main" id="{55FC7525-95CC-473D-AF62-B6E41FD1D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72" name="Picture 1091" descr="spacer">
          <a:extLst>
            <a:ext uri="{FF2B5EF4-FFF2-40B4-BE49-F238E27FC236}">
              <a16:creationId xmlns:a16="http://schemas.microsoft.com/office/drawing/2014/main" id="{35DF8C40-F10C-46F9-B94F-65E18B95B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73" name="Picture 1109" descr="spacer">
          <a:extLst>
            <a:ext uri="{FF2B5EF4-FFF2-40B4-BE49-F238E27FC236}">
              <a16:creationId xmlns:a16="http://schemas.microsoft.com/office/drawing/2014/main" id="{0F1CA879-F780-40B3-A2CE-F0151BE50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74" name="Picture 1123" descr="spacer">
          <a:extLst>
            <a:ext uri="{FF2B5EF4-FFF2-40B4-BE49-F238E27FC236}">
              <a16:creationId xmlns:a16="http://schemas.microsoft.com/office/drawing/2014/main" id="{F25CB20D-CA8F-4E3C-89BB-A6200DFE8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75" name="Picture 1138" descr="spacer">
          <a:extLst>
            <a:ext uri="{FF2B5EF4-FFF2-40B4-BE49-F238E27FC236}">
              <a16:creationId xmlns:a16="http://schemas.microsoft.com/office/drawing/2014/main" id="{C63B61E3-338B-4EB7-B0D2-1531C3C68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76" name="Picture 1156" descr="spacer">
          <a:extLst>
            <a:ext uri="{FF2B5EF4-FFF2-40B4-BE49-F238E27FC236}">
              <a16:creationId xmlns:a16="http://schemas.microsoft.com/office/drawing/2014/main" id="{5E663928-918E-447A-ABB8-B09E95CB7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77" name="Picture 1173" descr="spacer">
          <a:extLst>
            <a:ext uri="{FF2B5EF4-FFF2-40B4-BE49-F238E27FC236}">
              <a16:creationId xmlns:a16="http://schemas.microsoft.com/office/drawing/2014/main" id="{750EA353-9343-4444-8A08-F9BDFC17D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78" name="Picture 1191" descr="spacer">
          <a:extLst>
            <a:ext uri="{FF2B5EF4-FFF2-40B4-BE49-F238E27FC236}">
              <a16:creationId xmlns:a16="http://schemas.microsoft.com/office/drawing/2014/main" id="{92DC2C78-87ED-423F-B18A-D253DC2CD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79" name="Picture 1208" descr="spacer">
          <a:extLst>
            <a:ext uri="{FF2B5EF4-FFF2-40B4-BE49-F238E27FC236}">
              <a16:creationId xmlns:a16="http://schemas.microsoft.com/office/drawing/2014/main" id="{904ADD2F-84CE-4546-A4D1-2D4F0CE4E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80" name="Picture 1221" descr="spacer">
          <a:extLst>
            <a:ext uri="{FF2B5EF4-FFF2-40B4-BE49-F238E27FC236}">
              <a16:creationId xmlns:a16="http://schemas.microsoft.com/office/drawing/2014/main" id="{82BA5F31-71D0-4E73-AE86-97CAF9346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81" name="Picture 1238" descr="spacer">
          <a:extLst>
            <a:ext uri="{FF2B5EF4-FFF2-40B4-BE49-F238E27FC236}">
              <a16:creationId xmlns:a16="http://schemas.microsoft.com/office/drawing/2014/main" id="{DFE05DC2-F7D5-406B-95EB-92EA8C964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82" name="Picture 1256" descr="spacer">
          <a:extLst>
            <a:ext uri="{FF2B5EF4-FFF2-40B4-BE49-F238E27FC236}">
              <a16:creationId xmlns:a16="http://schemas.microsoft.com/office/drawing/2014/main" id="{B966D5C5-C640-4C09-8687-B1B65C3C5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83" name="Picture 1273" descr="spacer">
          <a:extLst>
            <a:ext uri="{FF2B5EF4-FFF2-40B4-BE49-F238E27FC236}">
              <a16:creationId xmlns:a16="http://schemas.microsoft.com/office/drawing/2014/main" id="{6E8F8B3C-232B-479C-83C0-A5267A509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84" name="Picture 1289" descr="spacer">
          <a:extLst>
            <a:ext uri="{FF2B5EF4-FFF2-40B4-BE49-F238E27FC236}">
              <a16:creationId xmlns:a16="http://schemas.microsoft.com/office/drawing/2014/main" id="{2B0B276F-D9B0-4C40-AAB4-2D3701266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85" name="Picture 1306" descr="spacer">
          <a:extLst>
            <a:ext uri="{FF2B5EF4-FFF2-40B4-BE49-F238E27FC236}">
              <a16:creationId xmlns:a16="http://schemas.microsoft.com/office/drawing/2014/main" id="{4B9CE994-2E78-458E-98BF-14246E5CE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86" name="Picture 1322" descr="spacer">
          <a:extLst>
            <a:ext uri="{FF2B5EF4-FFF2-40B4-BE49-F238E27FC236}">
              <a16:creationId xmlns:a16="http://schemas.microsoft.com/office/drawing/2014/main" id="{3B6DF8F6-63FF-415A-A893-58D581F9E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87" name="Picture 1337" descr="spacer">
          <a:extLst>
            <a:ext uri="{FF2B5EF4-FFF2-40B4-BE49-F238E27FC236}">
              <a16:creationId xmlns:a16="http://schemas.microsoft.com/office/drawing/2014/main" id="{D97BF02D-DB42-4762-921C-3A130A320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88" name="Picture 1355" descr="spacer">
          <a:extLst>
            <a:ext uri="{FF2B5EF4-FFF2-40B4-BE49-F238E27FC236}">
              <a16:creationId xmlns:a16="http://schemas.microsoft.com/office/drawing/2014/main" id="{6D01483A-EFFA-4649-A889-35AE95057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89" name="Picture 1373" descr="spacer">
          <a:extLst>
            <a:ext uri="{FF2B5EF4-FFF2-40B4-BE49-F238E27FC236}">
              <a16:creationId xmlns:a16="http://schemas.microsoft.com/office/drawing/2014/main" id="{E7567408-6F79-41F9-8ADF-40643E0D3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90" name="Picture 1391" descr="spacer">
          <a:extLst>
            <a:ext uri="{FF2B5EF4-FFF2-40B4-BE49-F238E27FC236}">
              <a16:creationId xmlns:a16="http://schemas.microsoft.com/office/drawing/2014/main" id="{145650B9-B09A-4DEC-A669-5DA0E483F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91" name="Picture 1409" descr="spacer">
          <a:extLst>
            <a:ext uri="{FF2B5EF4-FFF2-40B4-BE49-F238E27FC236}">
              <a16:creationId xmlns:a16="http://schemas.microsoft.com/office/drawing/2014/main" id="{722285B3-3D35-4C75-AE8F-24DAB4A5A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92" name="Picture 1426" descr="spacer">
          <a:extLst>
            <a:ext uri="{FF2B5EF4-FFF2-40B4-BE49-F238E27FC236}">
              <a16:creationId xmlns:a16="http://schemas.microsoft.com/office/drawing/2014/main" id="{FC03D617-3A6A-451A-8251-5D5C0D334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93" name="Picture 1443" descr="spacer">
          <a:extLst>
            <a:ext uri="{FF2B5EF4-FFF2-40B4-BE49-F238E27FC236}">
              <a16:creationId xmlns:a16="http://schemas.microsoft.com/office/drawing/2014/main" id="{4502FD5D-D9B2-4AB2-BD75-69EC29DA0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94" name="Picture 1461" descr="spacer">
          <a:extLst>
            <a:ext uri="{FF2B5EF4-FFF2-40B4-BE49-F238E27FC236}">
              <a16:creationId xmlns:a16="http://schemas.microsoft.com/office/drawing/2014/main" id="{82827E29-2641-424F-B7CC-8CB15A808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95" name="Picture 1478" descr="spacer">
          <a:extLst>
            <a:ext uri="{FF2B5EF4-FFF2-40B4-BE49-F238E27FC236}">
              <a16:creationId xmlns:a16="http://schemas.microsoft.com/office/drawing/2014/main" id="{1CD6F680-1A22-470C-BA1C-E97D047E5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96" name="Picture 1495" descr="spacer">
          <a:extLst>
            <a:ext uri="{FF2B5EF4-FFF2-40B4-BE49-F238E27FC236}">
              <a16:creationId xmlns:a16="http://schemas.microsoft.com/office/drawing/2014/main" id="{4948EAE4-3482-4AD4-AF2A-3FF4393E0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97" name="Picture 1512" descr="spacer">
          <a:extLst>
            <a:ext uri="{FF2B5EF4-FFF2-40B4-BE49-F238E27FC236}">
              <a16:creationId xmlns:a16="http://schemas.microsoft.com/office/drawing/2014/main" id="{34D399FC-F28E-4515-8E66-946B1CBDD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98" name="Picture 1530" descr="spacer">
          <a:extLst>
            <a:ext uri="{FF2B5EF4-FFF2-40B4-BE49-F238E27FC236}">
              <a16:creationId xmlns:a16="http://schemas.microsoft.com/office/drawing/2014/main" id="{BE6AE771-48A6-4B16-B4F5-BFFC86334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199" name="Picture 1547" descr="spacer">
          <a:extLst>
            <a:ext uri="{FF2B5EF4-FFF2-40B4-BE49-F238E27FC236}">
              <a16:creationId xmlns:a16="http://schemas.microsoft.com/office/drawing/2014/main" id="{D901A6B2-28D4-4068-99D9-D6107B65E7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00" name="Picture 1562" descr="spacer">
          <a:extLst>
            <a:ext uri="{FF2B5EF4-FFF2-40B4-BE49-F238E27FC236}">
              <a16:creationId xmlns:a16="http://schemas.microsoft.com/office/drawing/2014/main" id="{312F770E-69B3-4CFF-B914-E484257FC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01" name="Picture 1576" descr="spacer">
          <a:extLst>
            <a:ext uri="{FF2B5EF4-FFF2-40B4-BE49-F238E27FC236}">
              <a16:creationId xmlns:a16="http://schemas.microsoft.com/office/drawing/2014/main" id="{C647C4D5-6A83-438B-9075-AC77C1254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02" name="Picture 1594" descr="spacer">
          <a:extLst>
            <a:ext uri="{FF2B5EF4-FFF2-40B4-BE49-F238E27FC236}">
              <a16:creationId xmlns:a16="http://schemas.microsoft.com/office/drawing/2014/main" id="{19131C7C-1222-43E4-8232-A9F6878F4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03" name="Picture 1611" descr="spacer">
          <a:extLst>
            <a:ext uri="{FF2B5EF4-FFF2-40B4-BE49-F238E27FC236}">
              <a16:creationId xmlns:a16="http://schemas.microsoft.com/office/drawing/2014/main" id="{94F65728-61A6-4BC7-A876-18CD01267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04" name="Picture 1629" descr="spacer">
          <a:extLst>
            <a:ext uri="{FF2B5EF4-FFF2-40B4-BE49-F238E27FC236}">
              <a16:creationId xmlns:a16="http://schemas.microsoft.com/office/drawing/2014/main" id="{48C5E4D8-AEB9-4868-8C04-763857172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05" name="Picture 1643" descr="spacer">
          <a:extLst>
            <a:ext uri="{FF2B5EF4-FFF2-40B4-BE49-F238E27FC236}">
              <a16:creationId xmlns:a16="http://schemas.microsoft.com/office/drawing/2014/main" id="{D7FA5379-F5DA-40D0-9CE4-37B4D48AF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06" name="Picture 1661" descr="spacer">
          <a:extLst>
            <a:ext uri="{FF2B5EF4-FFF2-40B4-BE49-F238E27FC236}">
              <a16:creationId xmlns:a16="http://schemas.microsoft.com/office/drawing/2014/main" id="{F40391B1-5D1C-415E-ACBF-727CCAFBD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07" name="Picture 1679" descr="spacer">
          <a:extLst>
            <a:ext uri="{FF2B5EF4-FFF2-40B4-BE49-F238E27FC236}">
              <a16:creationId xmlns:a16="http://schemas.microsoft.com/office/drawing/2014/main" id="{C84594F4-4716-4863-A6A6-FC1B2B1AC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08" name="Picture 1697" descr="spacer">
          <a:extLst>
            <a:ext uri="{FF2B5EF4-FFF2-40B4-BE49-F238E27FC236}">
              <a16:creationId xmlns:a16="http://schemas.microsoft.com/office/drawing/2014/main" id="{FA39A46F-BF41-43AE-98D4-384F57AEE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09" name="Picture 1715" descr="spacer">
          <a:extLst>
            <a:ext uri="{FF2B5EF4-FFF2-40B4-BE49-F238E27FC236}">
              <a16:creationId xmlns:a16="http://schemas.microsoft.com/office/drawing/2014/main" id="{BD0298BD-7C04-464E-9EA5-4C4AE474C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10" name="Picture 1733" descr="spacer">
          <a:extLst>
            <a:ext uri="{FF2B5EF4-FFF2-40B4-BE49-F238E27FC236}">
              <a16:creationId xmlns:a16="http://schemas.microsoft.com/office/drawing/2014/main" id="{62CB49D0-D791-4027-BDB6-67B5C2E9C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11" name="Picture 1751" descr="spacer">
          <a:extLst>
            <a:ext uri="{FF2B5EF4-FFF2-40B4-BE49-F238E27FC236}">
              <a16:creationId xmlns:a16="http://schemas.microsoft.com/office/drawing/2014/main" id="{A1029F57-7FFF-4675-B13C-B1E59E288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12" name="Picture 1769" descr="spacer">
          <a:extLst>
            <a:ext uri="{FF2B5EF4-FFF2-40B4-BE49-F238E27FC236}">
              <a16:creationId xmlns:a16="http://schemas.microsoft.com/office/drawing/2014/main" id="{68AB0216-B859-4CDC-BD39-D51C16654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13" name="Picture 1786" descr="spacer">
          <a:extLst>
            <a:ext uri="{FF2B5EF4-FFF2-40B4-BE49-F238E27FC236}">
              <a16:creationId xmlns:a16="http://schemas.microsoft.com/office/drawing/2014/main" id="{BB45ECF7-FFBA-4C00-A371-97B8A9F6E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14" name="Picture 1804" descr="spacer">
          <a:extLst>
            <a:ext uri="{FF2B5EF4-FFF2-40B4-BE49-F238E27FC236}">
              <a16:creationId xmlns:a16="http://schemas.microsoft.com/office/drawing/2014/main" id="{C84CE16D-9DAC-4BFB-97C9-71B103B1CD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15" name="Picture 1822" descr="spacer">
          <a:extLst>
            <a:ext uri="{FF2B5EF4-FFF2-40B4-BE49-F238E27FC236}">
              <a16:creationId xmlns:a16="http://schemas.microsoft.com/office/drawing/2014/main" id="{602FD493-D587-47E4-8B3B-E4A2CD5A8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16" name="Picture 1838" descr="spacer">
          <a:extLst>
            <a:ext uri="{FF2B5EF4-FFF2-40B4-BE49-F238E27FC236}">
              <a16:creationId xmlns:a16="http://schemas.microsoft.com/office/drawing/2014/main" id="{35D928C4-F693-45FC-A857-37747CDC7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17" name="Picture 1856" descr="spacer">
          <a:extLst>
            <a:ext uri="{FF2B5EF4-FFF2-40B4-BE49-F238E27FC236}">
              <a16:creationId xmlns:a16="http://schemas.microsoft.com/office/drawing/2014/main" id="{EB6F765A-DF31-45B1-B147-264168343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18" name="Picture 1873" descr="spacer">
          <a:extLst>
            <a:ext uri="{FF2B5EF4-FFF2-40B4-BE49-F238E27FC236}">
              <a16:creationId xmlns:a16="http://schemas.microsoft.com/office/drawing/2014/main" id="{5CEAC925-EE46-4969-8A22-8168CF71B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19" name="Picture 1888" descr="spacer">
          <a:extLst>
            <a:ext uri="{FF2B5EF4-FFF2-40B4-BE49-F238E27FC236}">
              <a16:creationId xmlns:a16="http://schemas.microsoft.com/office/drawing/2014/main" id="{06B80F2F-CF3C-44DB-9F63-90C1673F5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20" name="Picture 1905" descr="spacer">
          <a:extLst>
            <a:ext uri="{FF2B5EF4-FFF2-40B4-BE49-F238E27FC236}">
              <a16:creationId xmlns:a16="http://schemas.microsoft.com/office/drawing/2014/main" id="{03915AE8-4833-47A3-9AA5-61DF5C4B5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21" name="Picture 1922" descr="spacer">
          <a:extLst>
            <a:ext uri="{FF2B5EF4-FFF2-40B4-BE49-F238E27FC236}">
              <a16:creationId xmlns:a16="http://schemas.microsoft.com/office/drawing/2014/main" id="{120CB69F-91E7-44C7-80B5-150FAAE58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22" name="Picture 1937" descr="spacer">
          <a:extLst>
            <a:ext uri="{FF2B5EF4-FFF2-40B4-BE49-F238E27FC236}">
              <a16:creationId xmlns:a16="http://schemas.microsoft.com/office/drawing/2014/main" id="{60681B91-0088-455A-A2ED-1FD59F1A7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23" name="Picture 1954" descr="spacer">
          <a:extLst>
            <a:ext uri="{FF2B5EF4-FFF2-40B4-BE49-F238E27FC236}">
              <a16:creationId xmlns:a16="http://schemas.microsoft.com/office/drawing/2014/main" id="{4C726A06-A2AC-4EFD-A054-CDF5A7A17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24" name="Picture 1972" descr="spacer">
          <a:extLst>
            <a:ext uri="{FF2B5EF4-FFF2-40B4-BE49-F238E27FC236}">
              <a16:creationId xmlns:a16="http://schemas.microsoft.com/office/drawing/2014/main" id="{E467FDD4-7746-4D6F-A90D-49032086A5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25" name="Picture 1990" descr="spacer">
          <a:extLst>
            <a:ext uri="{FF2B5EF4-FFF2-40B4-BE49-F238E27FC236}">
              <a16:creationId xmlns:a16="http://schemas.microsoft.com/office/drawing/2014/main" id="{082C84D1-9B2A-45F8-83C8-AE4CBF7756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26" name="Picture 2008" descr="spacer">
          <a:extLst>
            <a:ext uri="{FF2B5EF4-FFF2-40B4-BE49-F238E27FC236}">
              <a16:creationId xmlns:a16="http://schemas.microsoft.com/office/drawing/2014/main" id="{C5882B2D-EC16-4954-BDB9-CBC1C0F9D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27" name="Picture 2025" descr="spacer">
          <a:extLst>
            <a:ext uri="{FF2B5EF4-FFF2-40B4-BE49-F238E27FC236}">
              <a16:creationId xmlns:a16="http://schemas.microsoft.com/office/drawing/2014/main" id="{606F5517-74A2-4422-815E-3642C293D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28" name="Picture 2041" descr="spacer">
          <a:extLst>
            <a:ext uri="{FF2B5EF4-FFF2-40B4-BE49-F238E27FC236}">
              <a16:creationId xmlns:a16="http://schemas.microsoft.com/office/drawing/2014/main" id="{ED563368-C712-4A9B-B6B4-60147251C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29" name="Picture 2058" descr="spacer">
          <a:extLst>
            <a:ext uri="{FF2B5EF4-FFF2-40B4-BE49-F238E27FC236}">
              <a16:creationId xmlns:a16="http://schemas.microsoft.com/office/drawing/2014/main" id="{B22BA2BE-4D3B-4F11-B53B-F9EEC9C2C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30" name="Picture 2076" descr="spacer">
          <a:extLst>
            <a:ext uri="{FF2B5EF4-FFF2-40B4-BE49-F238E27FC236}">
              <a16:creationId xmlns:a16="http://schemas.microsoft.com/office/drawing/2014/main" id="{36DD9F32-8875-4667-ADEA-D1FEBE50C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31" name="Picture 2094" descr="spacer">
          <a:extLst>
            <a:ext uri="{FF2B5EF4-FFF2-40B4-BE49-F238E27FC236}">
              <a16:creationId xmlns:a16="http://schemas.microsoft.com/office/drawing/2014/main" id="{071CC0A3-51ED-426F-B392-B4D74BD80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32" name="Picture 2111" descr="spacer">
          <a:extLst>
            <a:ext uri="{FF2B5EF4-FFF2-40B4-BE49-F238E27FC236}">
              <a16:creationId xmlns:a16="http://schemas.microsoft.com/office/drawing/2014/main" id="{4F4230A5-4957-433F-9C1E-1B923F00A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33" name="Picture 2129" descr="spacer">
          <a:extLst>
            <a:ext uri="{FF2B5EF4-FFF2-40B4-BE49-F238E27FC236}">
              <a16:creationId xmlns:a16="http://schemas.microsoft.com/office/drawing/2014/main" id="{647804BE-BF92-4483-BC23-1A0BB1CA5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34" name="Picture 2143" descr="spacer">
          <a:extLst>
            <a:ext uri="{FF2B5EF4-FFF2-40B4-BE49-F238E27FC236}">
              <a16:creationId xmlns:a16="http://schemas.microsoft.com/office/drawing/2014/main" id="{A40F7073-AA20-4405-9D9B-927652378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35" name="Picture 2161" descr="spacer">
          <a:extLst>
            <a:ext uri="{FF2B5EF4-FFF2-40B4-BE49-F238E27FC236}">
              <a16:creationId xmlns:a16="http://schemas.microsoft.com/office/drawing/2014/main" id="{41AF23DA-5008-4E42-B38F-23859EB94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36" name="Picture 2179" descr="spacer">
          <a:extLst>
            <a:ext uri="{FF2B5EF4-FFF2-40B4-BE49-F238E27FC236}">
              <a16:creationId xmlns:a16="http://schemas.microsoft.com/office/drawing/2014/main" id="{18A876DF-E21A-4567-B31B-364D525FA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37" name="Picture 2196" descr="spacer">
          <a:extLst>
            <a:ext uri="{FF2B5EF4-FFF2-40B4-BE49-F238E27FC236}">
              <a16:creationId xmlns:a16="http://schemas.microsoft.com/office/drawing/2014/main" id="{E680C697-0659-4AD4-A3FA-9C429DA4D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38" name="Picture 2214" descr="spacer">
          <a:extLst>
            <a:ext uri="{FF2B5EF4-FFF2-40B4-BE49-F238E27FC236}">
              <a16:creationId xmlns:a16="http://schemas.microsoft.com/office/drawing/2014/main" id="{ED92838D-316C-46C4-AB74-2369ADD5E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39" name="Picture 2232" descr="spacer">
          <a:extLst>
            <a:ext uri="{FF2B5EF4-FFF2-40B4-BE49-F238E27FC236}">
              <a16:creationId xmlns:a16="http://schemas.microsoft.com/office/drawing/2014/main" id="{139F9DA9-47A3-471F-9F0C-B91EEB867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40" name="Picture 2249" descr="spacer">
          <a:extLst>
            <a:ext uri="{FF2B5EF4-FFF2-40B4-BE49-F238E27FC236}">
              <a16:creationId xmlns:a16="http://schemas.microsoft.com/office/drawing/2014/main" id="{666E8F85-599F-4E76-8C45-05B516D07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41" name="Picture 2266" descr="spacer">
          <a:extLst>
            <a:ext uri="{FF2B5EF4-FFF2-40B4-BE49-F238E27FC236}">
              <a16:creationId xmlns:a16="http://schemas.microsoft.com/office/drawing/2014/main" id="{2DF7E855-1D53-49A3-A632-60BDD3C00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42" name="Picture 2284" descr="spacer">
          <a:extLst>
            <a:ext uri="{FF2B5EF4-FFF2-40B4-BE49-F238E27FC236}">
              <a16:creationId xmlns:a16="http://schemas.microsoft.com/office/drawing/2014/main" id="{0BCF0B14-7EE5-4D83-B174-B22EFCCDD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43" name="Picture 2302" descr="spacer">
          <a:extLst>
            <a:ext uri="{FF2B5EF4-FFF2-40B4-BE49-F238E27FC236}">
              <a16:creationId xmlns:a16="http://schemas.microsoft.com/office/drawing/2014/main" id="{B5F0D6F7-3BF4-4511-96CD-B01D4A865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44" name="Picture 2320" descr="spacer">
          <a:extLst>
            <a:ext uri="{FF2B5EF4-FFF2-40B4-BE49-F238E27FC236}">
              <a16:creationId xmlns:a16="http://schemas.microsoft.com/office/drawing/2014/main" id="{86DF8EDF-1D30-4849-8E5B-B2BD9E0D67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45" name="Picture 2338" descr="spacer">
          <a:extLst>
            <a:ext uri="{FF2B5EF4-FFF2-40B4-BE49-F238E27FC236}">
              <a16:creationId xmlns:a16="http://schemas.microsoft.com/office/drawing/2014/main" id="{77F141B7-C824-426C-AD85-79403B8C5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46" name="Picture 2356" descr="spacer">
          <a:extLst>
            <a:ext uri="{FF2B5EF4-FFF2-40B4-BE49-F238E27FC236}">
              <a16:creationId xmlns:a16="http://schemas.microsoft.com/office/drawing/2014/main" id="{025209C8-FC41-4CE9-9AAC-FDA6F37E4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47" name="Picture 2373" descr="spacer">
          <a:extLst>
            <a:ext uri="{FF2B5EF4-FFF2-40B4-BE49-F238E27FC236}">
              <a16:creationId xmlns:a16="http://schemas.microsoft.com/office/drawing/2014/main" id="{B6ACE124-2F38-4147-98F2-D84255C5A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48" name="Picture 2391" descr="spacer">
          <a:extLst>
            <a:ext uri="{FF2B5EF4-FFF2-40B4-BE49-F238E27FC236}">
              <a16:creationId xmlns:a16="http://schemas.microsoft.com/office/drawing/2014/main" id="{AF9C87FC-C359-47E9-8DF2-7D393DACB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49" name="Picture 2408" descr="spacer">
          <a:extLst>
            <a:ext uri="{FF2B5EF4-FFF2-40B4-BE49-F238E27FC236}">
              <a16:creationId xmlns:a16="http://schemas.microsoft.com/office/drawing/2014/main" id="{CDDB7466-9FDA-406D-9552-F8A4443E2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50" name="Picture 2425" descr="spacer">
          <a:extLst>
            <a:ext uri="{FF2B5EF4-FFF2-40B4-BE49-F238E27FC236}">
              <a16:creationId xmlns:a16="http://schemas.microsoft.com/office/drawing/2014/main" id="{051BFDF6-E7BF-4C84-8332-3D4EB0A57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51" name="Picture 2443" descr="spacer">
          <a:extLst>
            <a:ext uri="{FF2B5EF4-FFF2-40B4-BE49-F238E27FC236}">
              <a16:creationId xmlns:a16="http://schemas.microsoft.com/office/drawing/2014/main" id="{FF8289B9-C4AB-4054-8528-4295CC70F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52" name="Picture 2461" descr="spacer">
          <a:extLst>
            <a:ext uri="{FF2B5EF4-FFF2-40B4-BE49-F238E27FC236}">
              <a16:creationId xmlns:a16="http://schemas.microsoft.com/office/drawing/2014/main" id="{EC471C01-D37C-4475-A1BE-EDD0A1673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53" name="Picture 2478" descr="spacer">
          <a:extLst>
            <a:ext uri="{FF2B5EF4-FFF2-40B4-BE49-F238E27FC236}">
              <a16:creationId xmlns:a16="http://schemas.microsoft.com/office/drawing/2014/main" id="{7B80F00F-A76F-4DEF-92E0-217C5616F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54" name="Picture 2495" descr="spacer">
          <a:extLst>
            <a:ext uri="{FF2B5EF4-FFF2-40B4-BE49-F238E27FC236}">
              <a16:creationId xmlns:a16="http://schemas.microsoft.com/office/drawing/2014/main" id="{3169C464-88C5-40C6-9220-F21C36019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55" name="Picture 2512" descr="spacer">
          <a:extLst>
            <a:ext uri="{FF2B5EF4-FFF2-40B4-BE49-F238E27FC236}">
              <a16:creationId xmlns:a16="http://schemas.microsoft.com/office/drawing/2014/main" id="{D2E0CC7B-BF85-4DA8-A7E5-F87560CCE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56" name="Picture 2530" descr="spacer">
          <a:extLst>
            <a:ext uri="{FF2B5EF4-FFF2-40B4-BE49-F238E27FC236}">
              <a16:creationId xmlns:a16="http://schemas.microsoft.com/office/drawing/2014/main" id="{2C6ED0A1-BC93-4970-8952-842AE429D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57" name="Picture 2548" descr="spacer">
          <a:extLst>
            <a:ext uri="{FF2B5EF4-FFF2-40B4-BE49-F238E27FC236}">
              <a16:creationId xmlns:a16="http://schemas.microsoft.com/office/drawing/2014/main" id="{A58A793A-C3B4-49D3-B2DF-816B1F22E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58" name="Picture 2568" descr="spacer">
          <a:extLst>
            <a:ext uri="{FF2B5EF4-FFF2-40B4-BE49-F238E27FC236}">
              <a16:creationId xmlns:a16="http://schemas.microsoft.com/office/drawing/2014/main" id="{3DEFAD8E-2CD2-4105-99B8-503AA7CF2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59" name="Picture 2586" descr="spacer">
          <a:extLst>
            <a:ext uri="{FF2B5EF4-FFF2-40B4-BE49-F238E27FC236}">
              <a16:creationId xmlns:a16="http://schemas.microsoft.com/office/drawing/2014/main" id="{B6B9EF32-4244-4753-8212-606B0F188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60" name="Picture 2603" descr="spacer">
          <a:extLst>
            <a:ext uri="{FF2B5EF4-FFF2-40B4-BE49-F238E27FC236}">
              <a16:creationId xmlns:a16="http://schemas.microsoft.com/office/drawing/2014/main" id="{A1FC4571-1517-46E2-9E8F-3F4E41BEE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61" name="Picture 2620" descr="spacer">
          <a:extLst>
            <a:ext uri="{FF2B5EF4-FFF2-40B4-BE49-F238E27FC236}">
              <a16:creationId xmlns:a16="http://schemas.microsoft.com/office/drawing/2014/main" id="{A3E576B8-7778-4989-BF4C-61E775FF0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62" name="Picture 2638" descr="spacer">
          <a:extLst>
            <a:ext uri="{FF2B5EF4-FFF2-40B4-BE49-F238E27FC236}">
              <a16:creationId xmlns:a16="http://schemas.microsoft.com/office/drawing/2014/main" id="{5A991742-4803-4C6A-83E0-038CAFA53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63" name="Picture 2655" descr="spacer">
          <a:extLst>
            <a:ext uri="{FF2B5EF4-FFF2-40B4-BE49-F238E27FC236}">
              <a16:creationId xmlns:a16="http://schemas.microsoft.com/office/drawing/2014/main" id="{D9675954-1DCC-4664-896F-B14AD7B7B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64" name="Picture 2673" descr="spacer">
          <a:extLst>
            <a:ext uri="{FF2B5EF4-FFF2-40B4-BE49-F238E27FC236}">
              <a16:creationId xmlns:a16="http://schemas.microsoft.com/office/drawing/2014/main" id="{D965752F-0A50-4347-92E9-399184426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65" name="Picture 2691" descr="spacer">
          <a:extLst>
            <a:ext uri="{FF2B5EF4-FFF2-40B4-BE49-F238E27FC236}">
              <a16:creationId xmlns:a16="http://schemas.microsoft.com/office/drawing/2014/main" id="{B232A81F-3EB3-44E9-AA45-C1E9E553D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66" name="Picture 2709" descr="spacer">
          <a:extLst>
            <a:ext uri="{FF2B5EF4-FFF2-40B4-BE49-F238E27FC236}">
              <a16:creationId xmlns:a16="http://schemas.microsoft.com/office/drawing/2014/main" id="{716B04A4-A7A2-46D4-BC18-54BF090FB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67" name="Picture 2726" descr="spacer">
          <a:extLst>
            <a:ext uri="{FF2B5EF4-FFF2-40B4-BE49-F238E27FC236}">
              <a16:creationId xmlns:a16="http://schemas.microsoft.com/office/drawing/2014/main" id="{849F257D-3337-4D9D-982E-0D80C7598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68" name="Picture 2743" descr="spacer">
          <a:extLst>
            <a:ext uri="{FF2B5EF4-FFF2-40B4-BE49-F238E27FC236}">
              <a16:creationId xmlns:a16="http://schemas.microsoft.com/office/drawing/2014/main" id="{84D9D314-BEAA-4C86-955E-EEC6DEE94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69" name="Picture 2760" descr="spacer">
          <a:extLst>
            <a:ext uri="{FF2B5EF4-FFF2-40B4-BE49-F238E27FC236}">
              <a16:creationId xmlns:a16="http://schemas.microsoft.com/office/drawing/2014/main" id="{89BB7857-14D9-441A-828F-36F9F9BE8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70" name="Picture 2778" descr="spacer">
          <a:extLst>
            <a:ext uri="{FF2B5EF4-FFF2-40B4-BE49-F238E27FC236}">
              <a16:creationId xmlns:a16="http://schemas.microsoft.com/office/drawing/2014/main" id="{E94EF878-2074-46AC-88A0-9D0BC7242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71" name="Picture 2796" descr="spacer">
          <a:extLst>
            <a:ext uri="{FF2B5EF4-FFF2-40B4-BE49-F238E27FC236}">
              <a16:creationId xmlns:a16="http://schemas.microsoft.com/office/drawing/2014/main" id="{D2C3C465-9DAE-40F9-9DB2-122A0C7E2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72" name="Picture 2814" descr="spacer">
          <a:extLst>
            <a:ext uri="{FF2B5EF4-FFF2-40B4-BE49-F238E27FC236}">
              <a16:creationId xmlns:a16="http://schemas.microsoft.com/office/drawing/2014/main" id="{F29C45CB-6E25-4CC9-B567-AF6B2CEF8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73" name="Picture 2832" descr="spacer">
          <a:extLst>
            <a:ext uri="{FF2B5EF4-FFF2-40B4-BE49-F238E27FC236}">
              <a16:creationId xmlns:a16="http://schemas.microsoft.com/office/drawing/2014/main" id="{F9BFFB45-9D2D-4FBB-BE1C-53AD13B05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74" name="Picture 2849" descr="spacer">
          <a:extLst>
            <a:ext uri="{FF2B5EF4-FFF2-40B4-BE49-F238E27FC236}">
              <a16:creationId xmlns:a16="http://schemas.microsoft.com/office/drawing/2014/main" id="{A0BDC488-AC7B-4979-9D61-9BFA05B82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75" name="Picture 2867" descr="spacer">
          <a:extLst>
            <a:ext uri="{FF2B5EF4-FFF2-40B4-BE49-F238E27FC236}">
              <a16:creationId xmlns:a16="http://schemas.microsoft.com/office/drawing/2014/main" id="{2E10CC51-8A03-48A4-B862-79DEA6AF5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76" name="Picture 2885" descr="spacer">
          <a:extLst>
            <a:ext uri="{FF2B5EF4-FFF2-40B4-BE49-F238E27FC236}">
              <a16:creationId xmlns:a16="http://schemas.microsoft.com/office/drawing/2014/main" id="{03856F1E-7D43-4278-AE37-32875EEAA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77" name="Picture 2903" descr="spacer">
          <a:extLst>
            <a:ext uri="{FF2B5EF4-FFF2-40B4-BE49-F238E27FC236}">
              <a16:creationId xmlns:a16="http://schemas.microsoft.com/office/drawing/2014/main" id="{F7D43C21-8063-4AE7-8772-C8FF0FD1A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78" name="Picture 2920" descr="spacer">
          <a:extLst>
            <a:ext uri="{FF2B5EF4-FFF2-40B4-BE49-F238E27FC236}">
              <a16:creationId xmlns:a16="http://schemas.microsoft.com/office/drawing/2014/main" id="{8112C4DF-B85B-4973-9274-4C2378C07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79" name="Picture 2938" descr="spacer">
          <a:extLst>
            <a:ext uri="{FF2B5EF4-FFF2-40B4-BE49-F238E27FC236}">
              <a16:creationId xmlns:a16="http://schemas.microsoft.com/office/drawing/2014/main" id="{DCB352E1-45C2-415C-9BE4-35CE071E62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80" name="Picture 2954" descr="spacer">
          <a:extLst>
            <a:ext uri="{FF2B5EF4-FFF2-40B4-BE49-F238E27FC236}">
              <a16:creationId xmlns:a16="http://schemas.microsoft.com/office/drawing/2014/main" id="{0CA4D3D7-2317-495A-8175-3E3F61A26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81" name="Picture 2971" descr="spacer">
          <a:extLst>
            <a:ext uri="{FF2B5EF4-FFF2-40B4-BE49-F238E27FC236}">
              <a16:creationId xmlns:a16="http://schemas.microsoft.com/office/drawing/2014/main" id="{BE5FDECB-5CF6-4C1C-ABAD-0E0DDB5D3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82" name="Picture 2989" descr="spacer">
          <a:extLst>
            <a:ext uri="{FF2B5EF4-FFF2-40B4-BE49-F238E27FC236}">
              <a16:creationId xmlns:a16="http://schemas.microsoft.com/office/drawing/2014/main" id="{FE1278C2-501D-4E08-B8E8-3F45D21AE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83" name="Picture 3007" descr="spacer">
          <a:extLst>
            <a:ext uri="{FF2B5EF4-FFF2-40B4-BE49-F238E27FC236}">
              <a16:creationId xmlns:a16="http://schemas.microsoft.com/office/drawing/2014/main" id="{5EFECD01-B8FC-4C11-9E78-7CEF8CABC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84" name="Picture 3026" descr="spacer">
          <a:extLst>
            <a:ext uri="{FF2B5EF4-FFF2-40B4-BE49-F238E27FC236}">
              <a16:creationId xmlns:a16="http://schemas.microsoft.com/office/drawing/2014/main" id="{35F9EA3C-DCE3-4CD4-9A1D-FCF3B5525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85" name="Picture 3044" descr="spacer">
          <a:extLst>
            <a:ext uri="{FF2B5EF4-FFF2-40B4-BE49-F238E27FC236}">
              <a16:creationId xmlns:a16="http://schemas.microsoft.com/office/drawing/2014/main" id="{BCB56A99-DE97-447B-8CC7-E5406A2135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86" name="Picture 3062" descr="spacer">
          <a:extLst>
            <a:ext uri="{FF2B5EF4-FFF2-40B4-BE49-F238E27FC236}">
              <a16:creationId xmlns:a16="http://schemas.microsoft.com/office/drawing/2014/main" id="{D3B6F7CE-F36C-4021-952C-D3F6FF564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87" name="Picture 3080" descr="spacer">
          <a:extLst>
            <a:ext uri="{FF2B5EF4-FFF2-40B4-BE49-F238E27FC236}">
              <a16:creationId xmlns:a16="http://schemas.microsoft.com/office/drawing/2014/main" id="{CFDC8F48-F154-4205-9C40-FF4A69402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88" name="Picture 3098" descr="spacer">
          <a:extLst>
            <a:ext uri="{FF2B5EF4-FFF2-40B4-BE49-F238E27FC236}">
              <a16:creationId xmlns:a16="http://schemas.microsoft.com/office/drawing/2014/main" id="{2650D0D0-9926-407A-9EDA-B8E8FFF5C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89" name="Picture 3115" descr="spacer">
          <a:extLst>
            <a:ext uri="{FF2B5EF4-FFF2-40B4-BE49-F238E27FC236}">
              <a16:creationId xmlns:a16="http://schemas.microsoft.com/office/drawing/2014/main" id="{EB060556-D12A-4185-93AB-E21F1EBD0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90" name="Picture 3133" descr="spacer">
          <a:extLst>
            <a:ext uri="{FF2B5EF4-FFF2-40B4-BE49-F238E27FC236}">
              <a16:creationId xmlns:a16="http://schemas.microsoft.com/office/drawing/2014/main" id="{6617C985-0807-4D5F-B3FD-CD7418383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91" name="Picture 3151" descr="spacer">
          <a:extLst>
            <a:ext uri="{FF2B5EF4-FFF2-40B4-BE49-F238E27FC236}">
              <a16:creationId xmlns:a16="http://schemas.microsoft.com/office/drawing/2014/main" id="{350EE902-8B87-438F-AE01-0C233DB0A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92" name="Picture 3168" descr="spacer">
          <a:extLst>
            <a:ext uri="{FF2B5EF4-FFF2-40B4-BE49-F238E27FC236}">
              <a16:creationId xmlns:a16="http://schemas.microsoft.com/office/drawing/2014/main" id="{1519B10E-DE2A-4DAC-BA44-07AB82B43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93" name="Picture 3185" descr="spacer">
          <a:extLst>
            <a:ext uri="{FF2B5EF4-FFF2-40B4-BE49-F238E27FC236}">
              <a16:creationId xmlns:a16="http://schemas.microsoft.com/office/drawing/2014/main" id="{AE7813F3-D1B4-4D59-8483-5757986236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94" name="Picture 3203" descr="spacer">
          <a:extLst>
            <a:ext uri="{FF2B5EF4-FFF2-40B4-BE49-F238E27FC236}">
              <a16:creationId xmlns:a16="http://schemas.microsoft.com/office/drawing/2014/main" id="{5AE217CF-6C15-4A8F-A40A-9F1AE01D3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sp macro="" textlink="">
      <xdr:nvSpPr>
        <xdr:cNvPr id="295" name="AutoShape 3221" descr="spacer">
          <a:extLst>
            <a:ext uri="{FF2B5EF4-FFF2-40B4-BE49-F238E27FC236}">
              <a16:creationId xmlns:a16="http://schemas.microsoft.com/office/drawing/2014/main" id="{394057DF-A56D-409C-91B7-CD0CA09EEA92}"/>
            </a:ext>
          </a:extLst>
        </xdr:cNvPr>
        <xdr:cNvSpPr>
          <a:spLocks noChangeAspect="1" noChangeArrowheads="1"/>
        </xdr:cNvSpPr>
      </xdr:nvSpPr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96" name="Picture 3237" descr="spacer">
          <a:extLst>
            <a:ext uri="{FF2B5EF4-FFF2-40B4-BE49-F238E27FC236}">
              <a16:creationId xmlns:a16="http://schemas.microsoft.com/office/drawing/2014/main" id="{BF854F04-6C8D-4155-B0D5-2A13047CB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97" name="Picture 3253" descr="spacer">
          <a:extLst>
            <a:ext uri="{FF2B5EF4-FFF2-40B4-BE49-F238E27FC236}">
              <a16:creationId xmlns:a16="http://schemas.microsoft.com/office/drawing/2014/main" id="{270223DA-9503-464E-9990-4A81098F80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9525</xdr:colOff>
      <xdr:row>3</xdr:row>
      <xdr:rowOff>57150</xdr:rowOff>
    </xdr:to>
    <xdr:pic>
      <xdr:nvPicPr>
        <xdr:cNvPr id="298" name="Picture 3273" descr="spacer">
          <a:extLst>
            <a:ext uri="{FF2B5EF4-FFF2-40B4-BE49-F238E27FC236}">
              <a16:creationId xmlns:a16="http://schemas.microsoft.com/office/drawing/2014/main" id="{C4CEA20B-D6A6-4ED3-B232-EF12E8F61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9525" cy="57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299" name="Picture 3274" descr="spacer">
          <a:extLst>
            <a:ext uri="{FF2B5EF4-FFF2-40B4-BE49-F238E27FC236}">
              <a16:creationId xmlns:a16="http://schemas.microsoft.com/office/drawing/2014/main" id="{8A863393-DB2F-495C-BE27-C32CBFAB1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300" name="Picture 3291" descr="spacer">
          <a:extLst>
            <a:ext uri="{FF2B5EF4-FFF2-40B4-BE49-F238E27FC236}">
              <a16:creationId xmlns:a16="http://schemas.microsoft.com/office/drawing/2014/main" id="{FC05FE61-6711-425E-BCBE-68C865ED4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301" name="Picture 3309" descr="spacer">
          <a:extLst>
            <a:ext uri="{FF2B5EF4-FFF2-40B4-BE49-F238E27FC236}">
              <a16:creationId xmlns:a16="http://schemas.microsoft.com/office/drawing/2014/main" id="{59C509F6-4060-4DF5-A36E-FA4FD8C5B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302" name="Picture 3327" descr="spacer">
          <a:extLst>
            <a:ext uri="{FF2B5EF4-FFF2-40B4-BE49-F238E27FC236}">
              <a16:creationId xmlns:a16="http://schemas.microsoft.com/office/drawing/2014/main" id="{DDAEA55F-89C5-4682-93FD-63A849571B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303" name="Picture 3345" descr="spacer">
          <a:extLst>
            <a:ext uri="{FF2B5EF4-FFF2-40B4-BE49-F238E27FC236}">
              <a16:creationId xmlns:a16="http://schemas.microsoft.com/office/drawing/2014/main" id="{62BAF967-191F-4A5D-A605-CB0E279CE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304" name="Picture 3363" descr="spacer">
          <a:extLst>
            <a:ext uri="{FF2B5EF4-FFF2-40B4-BE49-F238E27FC236}">
              <a16:creationId xmlns:a16="http://schemas.microsoft.com/office/drawing/2014/main" id="{BAD0398B-AE92-44E8-A7A2-8D38AF779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305" name="Picture 3378" descr="spacer">
          <a:extLst>
            <a:ext uri="{FF2B5EF4-FFF2-40B4-BE49-F238E27FC236}">
              <a16:creationId xmlns:a16="http://schemas.microsoft.com/office/drawing/2014/main" id="{5C5D5524-143D-4FE7-B348-E4FD5E8D9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306" name="Picture 3397" descr="spacer">
          <a:extLst>
            <a:ext uri="{FF2B5EF4-FFF2-40B4-BE49-F238E27FC236}">
              <a16:creationId xmlns:a16="http://schemas.microsoft.com/office/drawing/2014/main" id="{5F037833-3B5B-4C10-8EDD-713F7CA11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307" name="Picture 3414" descr="spacer">
          <a:extLst>
            <a:ext uri="{FF2B5EF4-FFF2-40B4-BE49-F238E27FC236}">
              <a16:creationId xmlns:a16="http://schemas.microsoft.com/office/drawing/2014/main" id="{2EF8037D-3BBF-498D-A969-517001407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308" name="Picture 3429" descr="spacer">
          <a:extLst>
            <a:ext uri="{FF2B5EF4-FFF2-40B4-BE49-F238E27FC236}">
              <a16:creationId xmlns:a16="http://schemas.microsoft.com/office/drawing/2014/main" id="{CF0D8C24-49D2-418D-AFFE-181C04B4D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309" name="Picture 3447" descr="spacer">
          <a:extLst>
            <a:ext uri="{FF2B5EF4-FFF2-40B4-BE49-F238E27FC236}">
              <a16:creationId xmlns:a16="http://schemas.microsoft.com/office/drawing/2014/main" id="{17957DF7-5502-4B6D-88A9-FB9C435E8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310" name="Picture 3464" descr="spacer">
          <a:extLst>
            <a:ext uri="{FF2B5EF4-FFF2-40B4-BE49-F238E27FC236}">
              <a16:creationId xmlns:a16="http://schemas.microsoft.com/office/drawing/2014/main" id="{A8D73FE1-B824-4CC5-9A33-1405FEDC0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311" name="Picture 3481" descr="spacer">
          <a:extLst>
            <a:ext uri="{FF2B5EF4-FFF2-40B4-BE49-F238E27FC236}">
              <a16:creationId xmlns:a16="http://schemas.microsoft.com/office/drawing/2014/main" id="{C4746CEE-AA1D-4E60-B788-6C43A1A4F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312" name="Picture 3499" descr="spacer">
          <a:extLst>
            <a:ext uri="{FF2B5EF4-FFF2-40B4-BE49-F238E27FC236}">
              <a16:creationId xmlns:a16="http://schemas.microsoft.com/office/drawing/2014/main" id="{C45468EC-C3BB-437A-BC24-33DB4B05C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313" name="Picture 3517" descr="spacer">
          <a:extLst>
            <a:ext uri="{FF2B5EF4-FFF2-40B4-BE49-F238E27FC236}">
              <a16:creationId xmlns:a16="http://schemas.microsoft.com/office/drawing/2014/main" id="{26164ADE-041C-42E0-AEC5-152AB2861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314" name="Picture 3535" descr="spacer">
          <a:extLst>
            <a:ext uri="{FF2B5EF4-FFF2-40B4-BE49-F238E27FC236}">
              <a16:creationId xmlns:a16="http://schemas.microsoft.com/office/drawing/2014/main" id="{4F43C023-FEEC-4451-B19C-8F8DE280E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142875</xdr:colOff>
      <xdr:row>3</xdr:row>
      <xdr:rowOff>9525</xdr:rowOff>
    </xdr:to>
    <xdr:pic>
      <xdr:nvPicPr>
        <xdr:cNvPr id="315" name="Picture 3552" descr="spacer">
          <a:extLst>
            <a:ext uri="{FF2B5EF4-FFF2-40B4-BE49-F238E27FC236}">
              <a16:creationId xmlns:a16="http://schemas.microsoft.com/office/drawing/2014/main" id="{C7075D25-7B62-466E-90B6-C3ECF237B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4287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4</xdr:col>
      <xdr:colOff>638175</xdr:colOff>
      <xdr:row>3</xdr:row>
      <xdr:rowOff>19050</xdr:rowOff>
    </xdr:to>
    <xdr:pic>
      <xdr:nvPicPr>
        <xdr:cNvPr id="316" name="Picture 15" descr="spacer">
          <a:extLst>
            <a:ext uri="{FF2B5EF4-FFF2-40B4-BE49-F238E27FC236}">
              <a16:creationId xmlns:a16="http://schemas.microsoft.com/office/drawing/2014/main" id="{193058F5-BF1B-4E6C-A95C-8878B3548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38493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4</xdr:col>
      <xdr:colOff>272415</xdr:colOff>
      <xdr:row>3</xdr:row>
      <xdr:rowOff>19050</xdr:rowOff>
    </xdr:to>
    <xdr:pic>
      <xdr:nvPicPr>
        <xdr:cNvPr id="317" name="Picture 17" descr="spacer">
          <a:extLst>
            <a:ext uri="{FF2B5EF4-FFF2-40B4-BE49-F238E27FC236}">
              <a16:creationId xmlns:a16="http://schemas.microsoft.com/office/drawing/2014/main" id="{344411A2-80BE-4A74-8E0F-629B534BE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4</xdr:col>
      <xdr:colOff>638175</xdr:colOff>
      <xdr:row>3</xdr:row>
      <xdr:rowOff>19050</xdr:rowOff>
    </xdr:to>
    <xdr:pic>
      <xdr:nvPicPr>
        <xdr:cNvPr id="318" name="Picture 34" descr="spacer">
          <a:extLst>
            <a:ext uri="{FF2B5EF4-FFF2-40B4-BE49-F238E27FC236}">
              <a16:creationId xmlns:a16="http://schemas.microsoft.com/office/drawing/2014/main" id="{6F7BFD76-568C-47C0-8BA0-65C2B27DF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38493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4</xdr:col>
      <xdr:colOff>272415</xdr:colOff>
      <xdr:row>3</xdr:row>
      <xdr:rowOff>19050</xdr:rowOff>
    </xdr:to>
    <xdr:pic>
      <xdr:nvPicPr>
        <xdr:cNvPr id="319" name="Picture 36" descr="spacer">
          <a:extLst>
            <a:ext uri="{FF2B5EF4-FFF2-40B4-BE49-F238E27FC236}">
              <a16:creationId xmlns:a16="http://schemas.microsoft.com/office/drawing/2014/main" id="{72927F8A-F7D6-48A7-813F-917B0E6E8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4</xdr:col>
      <xdr:colOff>638175</xdr:colOff>
      <xdr:row>3</xdr:row>
      <xdr:rowOff>19050</xdr:rowOff>
    </xdr:to>
    <xdr:pic>
      <xdr:nvPicPr>
        <xdr:cNvPr id="320" name="Picture 54" descr="spacer">
          <a:extLst>
            <a:ext uri="{FF2B5EF4-FFF2-40B4-BE49-F238E27FC236}">
              <a16:creationId xmlns:a16="http://schemas.microsoft.com/office/drawing/2014/main" id="{D6808F36-B99C-4143-B3EB-57CDAC4C2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38493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4</xdr:col>
      <xdr:colOff>272415</xdr:colOff>
      <xdr:row>3</xdr:row>
      <xdr:rowOff>19050</xdr:rowOff>
    </xdr:to>
    <xdr:pic>
      <xdr:nvPicPr>
        <xdr:cNvPr id="321" name="Picture 56" descr="spacer">
          <a:extLst>
            <a:ext uri="{FF2B5EF4-FFF2-40B4-BE49-F238E27FC236}">
              <a16:creationId xmlns:a16="http://schemas.microsoft.com/office/drawing/2014/main" id="{25DE2927-B5CC-4431-8D71-2519185AA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68580</xdr:colOff>
      <xdr:row>3</xdr:row>
      <xdr:rowOff>19050</xdr:rowOff>
    </xdr:to>
    <xdr:pic>
      <xdr:nvPicPr>
        <xdr:cNvPr id="322" name="Picture 62" descr="spacer">
          <a:extLst>
            <a:ext uri="{FF2B5EF4-FFF2-40B4-BE49-F238E27FC236}">
              <a16:creationId xmlns:a16="http://schemas.microsoft.com/office/drawing/2014/main" id="{88C21EBF-5A77-4BF0-A983-B36EAB9A5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4686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4</xdr:col>
      <xdr:colOff>272415</xdr:colOff>
      <xdr:row>3</xdr:row>
      <xdr:rowOff>19050</xdr:rowOff>
    </xdr:to>
    <xdr:pic>
      <xdr:nvPicPr>
        <xdr:cNvPr id="323" name="Picture 76" descr="spacer">
          <a:extLst>
            <a:ext uri="{FF2B5EF4-FFF2-40B4-BE49-F238E27FC236}">
              <a16:creationId xmlns:a16="http://schemas.microsoft.com/office/drawing/2014/main" id="{A1D41C54-D77D-4637-971B-311514FF3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01917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24" name="Picture 113" descr="spacer">
          <a:extLst>
            <a:ext uri="{FF2B5EF4-FFF2-40B4-BE49-F238E27FC236}">
              <a16:creationId xmlns:a16="http://schemas.microsoft.com/office/drawing/2014/main" id="{846D5CC6-7D6A-43C2-89A9-E1FE86C8F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4</xdr:col>
      <xdr:colOff>638175</xdr:colOff>
      <xdr:row>3</xdr:row>
      <xdr:rowOff>19050</xdr:rowOff>
    </xdr:to>
    <xdr:pic>
      <xdr:nvPicPr>
        <xdr:cNvPr id="325" name="Picture 131" descr="spacer">
          <a:extLst>
            <a:ext uri="{FF2B5EF4-FFF2-40B4-BE49-F238E27FC236}">
              <a16:creationId xmlns:a16="http://schemas.microsoft.com/office/drawing/2014/main" id="{3C775E44-97C5-4AA4-BE6D-30F0BDABA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38493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26" name="Picture 136" descr="spacer">
          <a:extLst>
            <a:ext uri="{FF2B5EF4-FFF2-40B4-BE49-F238E27FC236}">
              <a16:creationId xmlns:a16="http://schemas.microsoft.com/office/drawing/2014/main" id="{5FB2B79C-0ADF-494B-9EB3-EE5A2A7ED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4</xdr:col>
      <xdr:colOff>638175</xdr:colOff>
      <xdr:row>3</xdr:row>
      <xdr:rowOff>19050</xdr:rowOff>
    </xdr:to>
    <xdr:pic>
      <xdr:nvPicPr>
        <xdr:cNvPr id="327" name="Picture 154" descr="spacer">
          <a:extLst>
            <a:ext uri="{FF2B5EF4-FFF2-40B4-BE49-F238E27FC236}">
              <a16:creationId xmlns:a16="http://schemas.microsoft.com/office/drawing/2014/main" id="{8FB6B7AD-7DB8-4C30-B8CB-A0D4D06AD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38493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28" name="Picture 243" descr="spacer">
          <a:extLst>
            <a:ext uri="{FF2B5EF4-FFF2-40B4-BE49-F238E27FC236}">
              <a16:creationId xmlns:a16="http://schemas.microsoft.com/office/drawing/2014/main" id="{A37B2133-608F-4D15-9239-BE60D0ED4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29" name="Picture 261" descr="spacer">
          <a:extLst>
            <a:ext uri="{FF2B5EF4-FFF2-40B4-BE49-F238E27FC236}">
              <a16:creationId xmlns:a16="http://schemas.microsoft.com/office/drawing/2014/main" id="{6C1FC65A-6F63-4B79-884C-F64D7536D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30" name="Picture 279" descr="spacer">
          <a:extLst>
            <a:ext uri="{FF2B5EF4-FFF2-40B4-BE49-F238E27FC236}">
              <a16:creationId xmlns:a16="http://schemas.microsoft.com/office/drawing/2014/main" id="{7372309C-917E-4996-A815-906833A59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31" name="Picture 310" descr="spacer">
          <a:extLst>
            <a:ext uri="{FF2B5EF4-FFF2-40B4-BE49-F238E27FC236}">
              <a16:creationId xmlns:a16="http://schemas.microsoft.com/office/drawing/2014/main" id="{0E7F1214-B36B-443C-A8BA-6A7C70168C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32" name="Picture 323" descr="spacer">
          <a:extLst>
            <a:ext uri="{FF2B5EF4-FFF2-40B4-BE49-F238E27FC236}">
              <a16:creationId xmlns:a16="http://schemas.microsoft.com/office/drawing/2014/main" id="{EE3A5925-B5CA-44B5-BBD3-027F5BE2F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33" name="Picture 341" descr="spacer">
          <a:extLst>
            <a:ext uri="{FF2B5EF4-FFF2-40B4-BE49-F238E27FC236}">
              <a16:creationId xmlns:a16="http://schemas.microsoft.com/office/drawing/2014/main" id="{727060A2-A9EB-435E-805A-6C9ED5F56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34" name="Picture 356" descr="spacer">
          <a:extLst>
            <a:ext uri="{FF2B5EF4-FFF2-40B4-BE49-F238E27FC236}">
              <a16:creationId xmlns:a16="http://schemas.microsoft.com/office/drawing/2014/main" id="{A4B9BE3C-C4B5-4975-8084-57FFB52D76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35" name="Picture 374" descr="spacer">
          <a:extLst>
            <a:ext uri="{FF2B5EF4-FFF2-40B4-BE49-F238E27FC236}">
              <a16:creationId xmlns:a16="http://schemas.microsoft.com/office/drawing/2014/main" id="{C3A6D11E-582B-43DD-B563-1FC80155E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36" name="Picture 391" descr="spacer">
          <a:extLst>
            <a:ext uri="{FF2B5EF4-FFF2-40B4-BE49-F238E27FC236}">
              <a16:creationId xmlns:a16="http://schemas.microsoft.com/office/drawing/2014/main" id="{9A3577D4-6CA5-4C7B-A03B-357B9AA50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37" name="Picture 408" descr="spacer">
          <a:extLst>
            <a:ext uri="{FF2B5EF4-FFF2-40B4-BE49-F238E27FC236}">
              <a16:creationId xmlns:a16="http://schemas.microsoft.com/office/drawing/2014/main" id="{1A862C8F-9E32-47EA-8F66-5A6985AEE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38" name="Picture 426" descr="spacer">
          <a:extLst>
            <a:ext uri="{FF2B5EF4-FFF2-40B4-BE49-F238E27FC236}">
              <a16:creationId xmlns:a16="http://schemas.microsoft.com/office/drawing/2014/main" id="{F6440C4C-36A9-424E-979F-B78BA6DA6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39" name="Picture 443" descr="spacer">
          <a:extLst>
            <a:ext uri="{FF2B5EF4-FFF2-40B4-BE49-F238E27FC236}">
              <a16:creationId xmlns:a16="http://schemas.microsoft.com/office/drawing/2014/main" id="{C2A69FA9-2518-4B10-93BC-9C6376C2B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40" name="Picture 460" descr="spacer">
          <a:extLst>
            <a:ext uri="{FF2B5EF4-FFF2-40B4-BE49-F238E27FC236}">
              <a16:creationId xmlns:a16="http://schemas.microsoft.com/office/drawing/2014/main" id="{06F289AE-F4F6-475E-B900-F5439C81D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41" name="Picture 477" descr="spacer">
          <a:extLst>
            <a:ext uri="{FF2B5EF4-FFF2-40B4-BE49-F238E27FC236}">
              <a16:creationId xmlns:a16="http://schemas.microsoft.com/office/drawing/2014/main" id="{56D23DBF-B0B2-43E2-B3FB-42689A283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42" name="Picture 495" descr="spacer">
          <a:extLst>
            <a:ext uri="{FF2B5EF4-FFF2-40B4-BE49-F238E27FC236}">
              <a16:creationId xmlns:a16="http://schemas.microsoft.com/office/drawing/2014/main" id="{3691B4C7-6C89-4F70-8B58-9842976EC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43" name="Picture 513" descr="spacer">
          <a:extLst>
            <a:ext uri="{FF2B5EF4-FFF2-40B4-BE49-F238E27FC236}">
              <a16:creationId xmlns:a16="http://schemas.microsoft.com/office/drawing/2014/main" id="{DC589F86-0655-482C-B164-02F438655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44" name="Picture 530" descr="spacer">
          <a:extLst>
            <a:ext uri="{FF2B5EF4-FFF2-40B4-BE49-F238E27FC236}">
              <a16:creationId xmlns:a16="http://schemas.microsoft.com/office/drawing/2014/main" id="{03DF048D-8B1D-4BA7-A9EA-6D12945CE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45" name="Picture 548" descr="spacer">
          <a:extLst>
            <a:ext uri="{FF2B5EF4-FFF2-40B4-BE49-F238E27FC236}">
              <a16:creationId xmlns:a16="http://schemas.microsoft.com/office/drawing/2014/main" id="{3B64756F-1C4E-4AFF-8984-17C1DA0E8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46" name="Picture 568" descr="spacer">
          <a:extLst>
            <a:ext uri="{FF2B5EF4-FFF2-40B4-BE49-F238E27FC236}">
              <a16:creationId xmlns:a16="http://schemas.microsoft.com/office/drawing/2014/main" id="{AC60AF6B-1BA8-48DC-9960-4B983357C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47" name="Picture 581" descr="spacer">
          <a:extLst>
            <a:ext uri="{FF2B5EF4-FFF2-40B4-BE49-F238E27FC236}">
              <a16:creationId xmlns:a16="http://schemas.microsoft.com/office/drawing/2014/main" id="{DC27E6D2-14C0-4C83-BE7E-14A835E51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48" name="Picture 594" descr="spacer">
          <a:extLst>
            <a:ext uri="{FF2B5EF4-FFF2-40B4-BE49-F238E27FC236}">
              <a16:creationId xmlns:a16="http://schemas.microsoft.com/office/drawing/2014/main" id="{F133C890-1C84-4F3E-95AF-3A08933A8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49" name="Picture 612" descr="spacer">
          <a:extLst>
            <a:ext uri="{FF2B5EF4-FFF2-40B4-BE49-F238E27FC236}">
              <a16:creationId xmlns:a16="http://schemas.microsoft.com/office/drawing/2014/main" id="{390C6052-4190-45C1-9621-E48B4B0246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50" name="Picture 630" descr="spacer">
          <a:extLst>
            <a:ext uri="{FF2B5EF4-FFF2-40B4-BE49-F238E27FC236}">
              <a16:creationId xmlns:a16="http://schemas.microsoft.com/office/drawing/2014/main" id="{024D0DB4-A753-4B2A-A22F-AB7EED822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51" name="Picture 647" descr="spacer">
          <a:extLst>
            <a:ext uri="{FF2B5EF4-FFF2-40B4-BE49-F238E27FC236}">
              <a16:creationId xmlns:a16="http://schemas.microsoft.com/office/drawing/2014/main" id="{E27DD69B-F840-4ACA-A4A8-8AA7CB575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52" name="Picture 664" descr="spacer">
          <a:extLst>
            <a:ext uri="{FF2B5EF4-FFF2-40B4-BE49-F238E27FC236}">
              <a16:creationId xmlns:a16="http://schemas.microsoft.com/office/drawing/2014/main" id="{215C7A16-EA1C-434C-8E10-92985B733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53" name="Picture 682" descr="spacer">
          <a:extLst>
            <a:ext uri="{FF2B5EF4-FFF2-40B4-BE49-F238E27FC236}">
              <a16:creationId xmlns:a16="http://schemas.microsoft.com/office/drawing/2014/main" id="{3A8AC397-0B00-47A4-AE7D-E1573955C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54" name="Picture 701" descr="spacer">
          <a:extLst>
            <a:ext uri="{FF2B5EF4-FFF2-40B4-BE49-F238E27FC236}">
              <a16:creationId xmlns:a16="http://schemas.microsoft.com/office/drawing/2014/main" id="{D070E38C-10ED-478C-A6C7-D667889CE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55" name="Picture 718" descr="spacer">
          <a:extLst>
            <a:ext uri="{FF2B5EF4-FFF2-40B4-BE49-F238E27FC236}">
              <a16:creationId xmlns:a16="http://schemas.microsoft.com/office/drawing/2014/main" id="{631880F6-25F8-4B7E-AFC4-519CB3C35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56" name="Picture 737" descr="spacer">
          <a:extLst>
            <a:ext uri="{FF2B5EF4-FFF2-40B4-BE49-F238E27FC236}">
              <a16:creationId xmlns:a16="http://schemas.microsoft.com/office/drawing/2014/main" id="{DE99B2BB-E9B6-47C9-84CC-2DCA33F4F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57" name="Picture 755" descr="spacer">
          <a:extLst>
            <a:ext uri="{FF2B5EF4-FFF2-40B4-BE49-F238E27FC236}">
              <a16:creationId xmlns:a16="http://schemas.microsoft.com/office/drawing/2014/main" id="{7C7518A6-1496-4EA3-9CAD-6E5EAA136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58" name="Picture 772" descr="spacer">
          <a:extLst>
            <a:ext uri="{FF2B5EF4-FFF2-40B4-BE49-F238E27FC236}">
              <a16:creationId xmlns:a16="http://schemas.microsoft.com/office/drawing/2014/main" id="{18A3F3C5-7855-4DD9-A65E-9B0E60452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59" name="Picture 789" descr="spacer">
          <a:extLst>
            <a:ext uri="{FF2B5EF4-FFF2-40B4-BE49-F238E27FC236}">
              <a16:creationId xmlns:a16="http://schemas.microsoft.com/office/drawing/2014/main" id="{57017A71-84A8-4E04-BDBC-352E2C312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60" name="Picture 807" descr="spacer">
          <a:extLst>
            <a:ext uri="{FF2B5EF4-FFF2-40B4-BE49-F238E27FC236}">
              <a16:creationId xmlns:a16="http://schemas.microsoft.com/office/drawing/2014/main" id="{943D81DF-72F0-430E-B70C-716BEEDBE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61" name="Picture 825" descr="spacer">
          <a:extLst>
            <a:ext uri="{FF2B5EF4-FFF2-40B4-BE49-F238E27FC236}">
              <a16:creationId xmlns:a16="http://schemas.microsoft.com/office/drawing/2014/main" id="{23440C57-152E-4F5E-A901-E853D0278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62" name="Picture 843" descr="spacer">
          <a:extLst>
            <a:ext uri="{FF2B5EF4-FFF2-40B4-BE49-F238E27FC236}">
              <a16:creationId xmlns:a16="http://schemas.microsoft.com/office/drawing/2014/main" id="{676BABED-4965-48AA-A9C9-14661C077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63" name="Picture 861" descr="spacer">
          <a:extLst>
            <a:ext uri="{FF2B5EF4-FFF2-40B4-BE49-F238E27FC236}">
              <a16:creationId xmlns:a16="http://schemas.microsoft.com/office/drawing/2014/main" id="{B1C0D944-6D35-4B34-A91E-DD7D5DB67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64" name="Picture 879" descr="spacer">
          <a:extLst>
            <a:ext uri="{FF2B5EF4-FFF2-40B4-BE49-F238E27FC236}">
              <a16:creationId xmlns:a16="http://schemas.microsoft.com/office/drawing/2014/main" id="{BFAF899D-EF72-432C-82C9-078589E5E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65" name="Picture 897" descr="spacer">
          <a:extLst>
            <a:ext uri="{FF2B5EF4-FFF2-40B4-BE49-F238E27FC236}">
              <a16:creationId xmlns:a16="http://schemas.microsoft.com/office/drawing/2014/main" id="{E5DFD2BC-104B-48D4-B333-A696546BAA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66" name="Picture 915" descr="spacer">
          <a:extLst>
            <a:ext uri="{FF2B5EF4-FFF2-40B4-BE49-F238E27FC236}">
              <a16:creationId xmlns:a16="http://schemas.microsoft.com/office/drawing/2014/main" id="{13728130-F8FE-4C65-92AB-AA934BA4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67" name="Picture 933" descr="spacer">
          <a:extLst>
            <a:ext uri="{FF2B5EF4-FFF2-40B4-BE49-F238E27FC236}">
              <a16:creationId xmlns:a16="http://schemas.microsoft.com/office/drawing/2014/main" id="{850CF0E0-A2ED-45AE-A36D-45BA6900B1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68" name="Picture 950" descr="spacer">
          <a:extLst>
            <a:ext uri="{FF2B5EF4-FFF2-40B4-BE49-F238E27FC236}">
              <a16:creationId xmlns:a16="http://schemas.microsoft.com/office/drawing/2014/main" id="{97224C93-16AE-4ED6-902F-E701FE457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69" name="Picture 968" descr="spacer">
          <a:extLst>
            <a:ext uri="{FF2B5EF4-FFF2-40B4-BE49-F238E27FC236}">
              <a16:creationId xmlns:a16="http://schemas.microsoft.com/office/drawing/2014/main" id="{67921466-A2B3-47A6-949A-B25960400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70" name="Picture 986" descr="spacer">
          <a:extLst>
            <a:ext uri="{FF2B5EF4-FFF2-40B4-BE49-F238E27FC236}">
              <a16:creationId xmlns:a16="http://schemas.microsoft.com/office/drawing/2014/main" id="{168A8D5C-DD49-4F83-8570-AD8FB26B50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71" name="Picture 1003" descr="spacer">
          <a:extLst>
            <a:ext uri="{FF2B5EF4-FFF2-40B4-BE49-F238E27FC236}">
              <a16:creationId xmlns:a16="http://schemas.microsoft.com/office/drawing/2014/main" id="{8650F093-7C99-42B6-800D-A648BC372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72" name="Picture 1021" descr="spacer">
          <a:extLst>
            <a:ext uri="{FF2B5EF4-FFF2-40B4-BE49-F238E27FC236}">
              <a16:creationId xmlns:a16="http://schemas.microsoft.com/office/drawing/2014/main" id="{501B979F-7793-44DD-A039-C34873DBA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73" name="Picture 1039" descr="spacer">
          <a:extLst>
            <a:ext uri="{FF2B5EF4-FFF2-40B4-BE49-F238E27FC236}">
              <a16:creationId xmlns:a16="http://schemas.microsoft.com/office/drawing/2014/main" id="{6BD57663-5CC8-4017-9B7A-B961B9B0E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74" name="Picture 1057" descr="spacer">
          <a:extLst>
            <a:ext uri="{FF2B5EF4-FFF2-40B4-BE49-F238E27FC236}">
              <a16:creationId xmlns:a16="http://schemas.microsoft.com/office/drawing/2014/main" id="{477EE7FA-F34A-44E1-937F-EB0596C4E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75" name="Picture 1075" descr="spacer">
          <a:extLst>
            <a:ext uri="{FF2B5EF4-FFF2-40B4-BE49-F238E27FC236}">
              <a16:creationId xmlns:a16="http://schemas.microsoft.com/office/drawing/2014/main" id="{7F9410DC-6CBF-47FB-8A99-1D914A762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76" name="Picture 1092" descr="spacer">
          <a:extLst>
            <a:ext uri="{FF2B5EF4-FFF2-40B4-BE49-F238E27FC236}">
              <a16:creationId xmlns:a16="http://schemas.microsoft.com/office/drawing/2014/main" id="{AFACBDEE-79E1-43E6-90FE-0D8287D56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77" name="Picture 1110" descr="spacer">
          <a:extLst>
            <a:ext uri="{FF2B5EF4-FFF2-40B4-BE49-F238E27FC236}">
              <a16:creationId xmlns:a16="http://schemas.microsoft.com/office/drawing/2014/main" id="{4FFF3D36-790C-41F3-A3C2-ED6A2CBA5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78" name="Picture 1124" descr="spacer">
          <a:extLst>
            <a:ext uri="{FF2B5EF4-FFF2-40B4-BE49-F238E27FC236}">
              <a16:creationId xmlns:a16="http://schemas.microsoft.com/office/drawing/2014/main" id="{3979234D-AEAC-4FD1-B67D-5D881EE906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79" name="Picture 1139" descr="spacer">
          <a:extLst>
            <a:ext uri="{FF2B5EF4-FFF2-40B4-BE49-F238E27FC236}">
              <a16:creationId xmlns:a16="http://schemas.microsoft.com/office/drawing/2014/main" id="{B73724E1-F9DB-4939-930D-456CBD64D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80" name="Picture 1157" descr="spacer">
          <a:extLst>
            <a:ext uri="{FF2B5EF4-FFF2-40B4-BE49-F238E27FC236}">
              <a16:creationId xmlns:a16="http://schemas.microsoft.com/office/drawing/2014/main" id="{1196C0A2-0AEF-4BB1-A047-28B4EA65F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81" name="Picture 1174" descr="spacer">
          <a:extLst>
            <a:ext uri="{FF2B5EF4-FFF2-40B4-BE49-F238E27FC236}">
              <a16:creationId xmlns:a16="http://schemas.microsoft.com/office/drawing/2014/main" id="{556B2877-F9B8-4413-BBDB-65E4987EC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82" name="Picture 1192" descr="spacer">
          <a:extLst>
            <a:ext uri="{FF2B5EF4-FFF2-40B4-BE49-F238E27FC236}">
              <a16:creationId xmlns:a16="http://schemas.microsoft.com/office/drawing/2014/main" id="{904B89C7-19AB-434B-9D1C-3ADCB78204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83" name="Picture 1209" descr="spacer">
          <a:extLst>
            <a:ext uri="{FF2B5EF4-FFF2-40B4-BE49-F238E27FC236}">
              <a16:creationId xmlns:a16="http://schemas.microsoft.com/office/drawing/2014/main" id="{C0725F4C-AF3E-4127-99D8-3E650B03C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84" name="Picture 1222" descr="spacer">
          <a:extLst>
            <a:ext uri="{FF2B5EF4-FFF2-40B4-BE49-F238E27FC236}">
              <a16:creationId xmlns:a16="http://schemas.microsoft.com/office/drawing/2014/main" id="{2E85302F-58AB-4053-8D43-F587E4F88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85" name="Picture 1239" descr="spacer">
          <a:extLst>
            <a:ext uri="{FF2B5EF4-FFF2-40B4-BE49-F238E27FC236}">
              <a16:creationId xmlns:a16="http://schemas.microsoft.com/office/drawing/2014/main" id="{7B320688-1616-4750-8344-E3259FCB8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86" name="Picture 1257" descr="spacer">
          <a:extLst>
            <a:ext uri="{FF2B5EF4-FFF2-40B4-BE49-F238E27FC236}">
              <a16:creationId xmlns:a16="http://schemas.microsoft.com/office/drawing/2014/main" id="{13F5156A-969E-4469-95E6-395B72413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87" name="Picture 1274" descr="spacer">
          <a:extLst>
            <a:ext uri="{FF2B5EF4-FFF2-40B4-BE49-F238E27FC236}">
              <a16:creationId xmlns:a16="http://schemas.microsoft.com/office/drawing/2014/main" id="{04E64C34-C14D-4EEC-8C63-207B0086F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88" name="Picture 1290" descr="spacer">
          <a:extLst>
            <a:ext uri="{FF2B5EF4-FFF2-40B4-BE49-F238E27FC236}">
              <a16:creationId xmlns:a16="http://schemas.microsoft.com/office/drawing/2014/main" id="{F03CB665-9D40-4C88-AFE3-B42395827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89" name="Picture 1307" descr="spacer">
          <a:extLst>
            <a:ext uri="{FF2B5EF4-FFF2-40B4-BE49-F238E27FC236}">
              <a16:creationId xmlns:a16="http://schemas.microsoft.com/office/drawing/2014/main" id="{C9245753-092A-4A3D-AD2E-7F57E7D7B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90" name="Picture 1323" descr="spacer">
          <a:extLst>
            <a:ext uri="{FF2B5EF4-FFF2-40B4-BE49-F238E27FC236}">
              <a16:creationId xmlns:a16="http://schemas.microsoft.com/office/drawing/2014/main" id="{654F16BD-A786-4581-9860-638D46D817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91" name="Picture 1338" descr="spacer">
          <a:extLst>
            <a:ext uri="{FF2B5EF4-FFF2-40B4-BE49-F238E27FC236}">
              <a16:creationId xmlns:a16="http://schemas.microsoft.com/office/drawing/2014/main" id="{AAE7B1B0-D102-4655-B4AB-455BA0237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92" name="Picture 1356" descr="spacer">
          <a:extLst>
            <a:ext uri="{FF2B5EF4-FFF2-40B4-BE49-F238E27FC236}">
              <a16:creationId xmlns:a16="http://schemas.microsoft.com/office/drawing/2014/main" id="{E438605B-EFFF-4866-9935-54A603A09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93" name="Picture 1374" descr="spacer">
          <a:extLst>
            <a:ext uri="{FF2B5EF4-FFF2-40B4-BE49-F238E27FC236}">
              <a16:creationId xmlns:a16="http://schemas.microsoft.com/office/drawing/2014/main" id="{FFD20412-CB81-4B20-B66B-BE0ED0A66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94" name="Picture 1392" descr="spacer">
          <a:extLst>
            <a:ext uri="{FF2B5EF4-FFF2-40B4-BE49-F238E27FC236}">
              <a16:creationId xmlns:a16="http://schemas.microsoft.com/office/drawing/2014/main" id="{DC87819C-7E83-4D86-9C1D-A77DA6877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95" name="Picture 1410" descr="spacer">
          <a:extLst>
            <a:ext uri="{FF2B5EF4-FFF2-40B4-BE49-F238E27FC236}">
              <a16:creationId xmlns:a16="http://schemas.microsoft.com/office/drawing/2014/main" id="{0DEDCCA7-A652-42B6-B0AB-57A230430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96" name="Picture 1427" descr="spacer">
          <a:extLst>
            <a:ext uri="{FF2B5EF4-FFF2-40B4-BE49-F238E27FC236}">
              <a16:creationId xmlns:a16="http://schemas.microsoft.com/office/drawing/2014/main" id="{1E2A66E3-A11E-443F-8E33-A79BB1D40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97" name="Picture 1444" descr="spacer">
          <a:extLst>
            <a:ext uri="{FF2B5EF4-FFF2-40B4-BE49-F238E27FC236}">
              <a16:creationId xmlns:a16="http://schemas.microsoft.com/office/drawing/2014/main" id="{CD054A2C-7B3E-4B16-B9D5-85DFC030C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98" name="Picture 1462" descr="spacer">
          <a:extLst>
            <a:ext uri="{FF2B5EF4-FFF2-40B4-BE49-F238E27FC236}">
              <a16:creationId xmlns:a16="http://schemas.microsoft.com/office/drawing/2014/main" id="{C760D848-6356-4DDE-AC57-D8B67B9B3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399" name="Picture 1479" descr="spacer">
          <a:extLst>
            <a:ext uri="{FF2B5EF4-FFF2-40B4-BE49-F238E27FC236}">
              <a16:creationId xmlns:a16="http://schemas.microsoft.com/office/drawing/2014/main" id="{E4E13B1F-FCF8-4E54-ABF5-7177EE3C7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00" name="Picture 1496" descr="spacer">
          <a:extLst>
            <a:ext uri="{FF2B5EF4-FFF2-40B4-BE49-F238E27FC236}">
              <a16:creationId xmlns:a16="http://schemas.microsoft.com/office/drawing/2014/main" id="{A658F860-73EE-46A7-9839-9DD15FF14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01" name="Picture 1513" descr="spacer">
          <a:extLst>
            <a:ext uri="{FF2B5EF4-FFF2-40B4-BE49-F238E27FC236}">
              <a16:creationId xmlns:a16="http://schemas.microsoft.com/office/drawing/2014/main" id="{5CCA1EAF-AC72-4221-B21F-C10B3BE5D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02" name="Picture 1531" descr="spacer">
          <a:extLst>
            <a:ext uri="{FF2B5EF4-FFF2-40B4-BE49-F238E27FC236}">
              <a16:creationId xmlns:a16="http://schemas.microsoft.com/office/drawing/2014/main" id="{28933B1B-820F-44EC-8AFD-D24429828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03" name="Picture 1548" descr="spacer">
          <a:extLst>
            <a:ext uri="{FF2B5EF4-FFF2-40B4-BE49-F238E27FC236}">
              <a16:creationId xmlns:a16="http://schemas.microsoft.com/office/drawing/2014/main" id="{74055BB7-2E74-48EE-9571-CF8298F89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04" name="Picture 1563" descr="spacer">
          <a:extLst>
            <a:ext uri="{FF2B5EF4-FFF2-40B4-BE49-F238E27FC236}">
              <a16:creationId xmlns:a16="http://schemas.microsoft.com/office/drawing/2014/main" id="{08F52EAA-B167-4A7D-A1FF-B73F76545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05" name="Picture 1577" descr="spacer">
          <a:extLst>
            <a:ext uri="{FF2B5EF4-FFF2-40B4-BE49-F238E27FC236}">
              <a16:creationId xmlns:a16="http://schemas.microsoft.com/office/drawing/2014/main" id="{44B94F13-4635-4D44-95AA-ACBB8C686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06" name="Picture 1595" descr="spacer">
          <a:extLst>
            <a:ext uri="{FF2B5EF4-FFF2-40B4-BE49-F238E27FC236}">
              <a16:creationId xmlns:a16="http://schemas.microsoft.com/office/drawing/2014/main" id="{54212F5C-1BC0-43DB-A43E-C2CD2B632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07" name="Picture 1612" descr="spacer">
          <a:extLst>
            <a:ext uri="{FF2B5EF4-FFF2-40B4-BE49-F238E27FC236}">
              <a16:creationId xmlns:a16="http://schemas.microsoft.com/office/drawing/2014/main" id="{8D28B97F-1639-4454-B136-6AE792371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08" name="Picture 1630" descr="spacer">
          <a:extLst>
            <a:ext uri="{FF2B5EF4-FFF2-40B4-BE49-F238E27FC236}">
              <a16:creationId xmlns:a16="http://schemas.microsoft.com/office/drawing/2014/main" id="{D21E10D7-0BC7-4DA1-B84F-2886A591B5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09" name="Picture 1644" descr="spacer">
          <a:extLst>
            <a:ext uri="{FF2B5EF4-FFF2-40B4-BE49-F238E27FC236}">
              <a16:creationId xmlns:a16="http://schemas.microsoft.com/office/drawing/2014/main" id="{92B2C4E1-6283-423A-9799-2879A50BE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10" name="Picture 1662" descr="spacer">
          <a:extLst>
            <a:ext uri="{FF2B5EF4-FFF2-40B4-BE49-F238E27FC236}">
              <a16:creationId xmlns:a16="http://schemas.microsoft.com/office/drawing/2014/main" id="{91035BDA-F7FA-48F9-B636-D0D9005680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11" name="Picture 1680" descr="spacer">
          <a:extLst>
            <a:ext uri="{FF2B5EF4-FFF2-40B4-BE49-F238E27FC236}">
              <a16:creationId xmlns:a16="http://schemas.microsoft.com/office/drawing/2014/main" id="{B86A5A41-F825-4154-B40F-18D387054F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12" name="Picture 1698" descr="spacer">
          <a:extLst>
            <a:ext uri="{FF2B5EF4-FFF2-40B4-BE49-F238E27FC236}">
              <a16:creationId xmlns:a16="http://schemas.microsoft.com/office/drawing/2014/main" id="{66F1CC8C-2D4F-45AD-9521-84E155A13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13" name="Picture 1716" descr="spacer">
          <a:extLst>
            <a:ext uri="{FF2B5EF4-FFF2-40B4-BE49-F238E27FC236}">
              <a16:creationId xmlns:a16="http://schemas.microsoft.com/office/drawing/2014/main" id="{464E2DFD-2799-4B5D-97FB-B2DA6FCA7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14" name="Picture 1734" descr="spacer">
          <a:extLst>
            <a:ext uri="{FF2B5EF4-FFF2-40B4-BE49-F238E27FC236}">
              <a16:creationId xmlns:a16="http://schemas.microsoft.com/office/drawing/2014/main" id="{18D646FE-9AC8-470C-AF32-3E36ED3574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15" name="Picture 1752" descr="spacer">
          <a:extLst>
            <a:ext uri="{FF2B5EF4-FFF2-40B4-BE49-F238E27FC236}">
              <a16:creationId xmlns:a16="http://schemas.microsoft.com/office/drawing/2014/main" id="{4E0D85A4-BA23-449A-BF04-EC56DA765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16" name="Picture 1770" descr="spacer">
          <a:extLst>
            <a:ext uri="{FF2B5EF4-FFF2-40B4-BE49-F238E27FC236}">
              <a16:creationId xmlns:a16="http://schemas.microsoft.com/office/drawing/2014/main" id="{91B4CD51-C8A1-4BBA-BF98-AB2DA4243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17" name="Picture 1787" descr="spacer">
          <a:extLst>
            <a:ext uri="{FF2B5EF4-FFF2-40B4-BE49-F238E27FC236}">
              <a16:creationId xmlns:a16="http://schemas.microsoft.com/office/drawing/2014/main" id="{1A6E43AF-1920-44F2-87E1-2205DC3BB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18" name="Picture 1805" descr="spacer">
          <a:extLst>
            <a:ext uri="{FF2B5EF4-FFF2-40B4-BE49-F238E27FC236}">
              <a16:creationId xmlns:a16="http://schemas.microsoft.com/office/drawing/2014/main" id="{7CD99CD2-3346-4BBD-865A-324A78ABC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19" name="Picture 1823" descr="spacer">
          <a:extLst>
            <a:ext uri="{FF2B5EF4-FFF2-40B4-BE49-F238E27FC236}">
              <a16:creationId xmlns:a16="http://schemas.microsoft.com/office/drawing/2014/main" id="{AE8F85C1-4B3E-4A31-936C-245DAE153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20" name="Picture 1839" descr="spacer">
          <a:extLst>
            <a:ext uri="{FF2B5EF4-FFF2-40B4-BE49-F238E27FC236}">
              <a16:creationId xmlns:a16="http://schemas.microsoft.com/office/drawing/2014/main" id="{704538CD-0AAE-499F-A41F-19EBF47DE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21" name="Picture 1857" descr="spacer">
          <a:extLst>
            <a:ext uri="{FF2B5EF4-FFF2-40B4-BE49-F238E27FC236}">
              <a16:creationId xmlns:a16="http://schemas.microsoft.com/office/drawing/2014/main" id="{A7F35D4F-82C4-4D89-8A5D-60897AAE4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22" name="Picture 1874" descr="spacer">
          <a:extLst>
            <a:ext uri="{FF2B5EF4-FFF2-40B4-BE49-F238E27FC236}">
              <a16:creationId xmlns:a16="http://schemas.microsoft.com/office/drawing/2014/main" id="{DA8A42A9-7210-4938-BB3F-564A37B96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23" name="Picture 1889" descr="spacer">
          <a:extLst>
            <a:ext uri="{FF2B5EF4-FFF2-40B4-BE49-F238E27FC236}">
              <a16:creationId xmlns:a16="http://schemas.microsoft.com/office/drawing/2014/main" id="{E6C99779-29A8-4C07-B217-621FF5296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24" name="Picture 1906" descr="spacer">
          <a:extLst>
            <a:ext uri="{FF2B5EF4-FFF2-40B4-BE49-F238E27FC236}">
              <a16:creationId xmlns:a16="http://schemas.microsoft.com/office/drawing/2014/main" id="{93819CD8-7337-4293-B5BA-01B639776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25" name="Picture 1923" descr="spacer">
          <a:extLst>
            <a:ext uri="{FF2B5EF4-FFF2-40B4-BE49-F238E27FC236}">
              <a16:creationId xmlns:a16="http://schemas.microsoft.com/office/drawing/2014/main" id="{7B672F37-CF49-41BA-B544-EC9B3872C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26" name="Picture 1938" descr="spacer">
          <a:extLst>
            <a:ext uri="{FF2B5EF4-FFF2-40B4-BE49-F238E27FC236}">
              <a16:creationId xmlns:a16="http://schemas.microsoft.com/office/drawing/2014/main" id="{6D83202A-0365-4E5B-8655-1D3308530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27" name="Picture 1955" descr="spacer">
          <a:extLst>
            <a:ext uri="{FF2B5EF4-FFF2-40B4-BE49-F238E27FC236}">
              <a16:creationId xmlns:a16="http://schemas.microsoft.com/office/drawing/2014/main" id="{C4E6F9AC-2650-4D12-B4DF-16FC06387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28" name="Picture 1973" descr="spacer">
          <a:extLst>
            <a:ext uri="{FF2B5EF4-FFF2-40B4-BE49-F238E27FC236}">
              <a16:creationId xmlns:a16="http://schemas.microsoft.com/office/drawing/2014/main" id="{8F22F4D9-2FD5-4109-B80A-FE1CC9AEF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29" name="Picture 1991" descr="spacer">
          <a:extLst>
            <a:ext uri="{FF2B5EF4-FFF2-40B4-BE49-F238E27FC236}">
              <a16:creationId xmlns:a16="http://schemas.microsoft.com/office/drawing/2014/main" id="{5283A6B0-B8A9-431E-B9B2-3968F98AC2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30" name="Picture 2009" descr="spacer">
          <a:extLst>
            <a:ext uri="{FF2B5EF4-FFF2-40B4-BE49-F238E27FC236}">
              <a16:creationId xmlns:a16="http://schemas.microsoft.com/office/drawing/2014/main" id="{B15FC2CB-9E21-4096-BBB1-3894676D4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31" name="Picture 2026" descr="spacer">
          <a:extLst>
            <a:ext uri="{FF2B5EF4-FFF2-40B4-BE49-F238E27FC236}">
              <a16:creationId xmlns:a16="http://schemas.microsoft.com/office/drawing/2014/main" id="{2603D69F-35AE-4BF5-BF36-6068C775C2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32" name="Picture 2042" descr="spacer">
          <a:extLst>
            <a:ext uri="{FF2B5EF4-FFF2-40B4-BE49-F238E27FC236}">
              <a16:creationId xmlns:a16="http://schemas.microsoft.com/office/drawing/2014/main" id="{FE4C4961-59E9-41DD-A6EF-25D015ED2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33" name="Picture 2059" descr="spacer">
          <a:extLst>
            <a:ext uri="{FF2B5EF4-FFF2-40B4-BE49-F238E27FC236}">
              <a16:creationId xmlns:a16="http://schemas.microsoft.com/office/drawing/2014/main" id="{F38F705A-62B5-4284-8051-1EE4B7F60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34" name="Picture 2077" descr="spacer">
          <a:extLst>
            <a:ext uri="{FF2B5EF4-FFF2-40B4-BE49-F238E27FC236}">
              <a16:creationId xmlns:a16="http://schemas.microsoft.com/office/drawing/2014/main" id="{5089ED21-A66E-4471-8B73-95D70037B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35" name="Picture 2095" descr="spacer">
          <a:extLst>
            <a:ext uri="{FF2B5EF4-FFF2-40B4-BE49-F238E27FC236}">
              <a16:creationId xmlns:a16="http://schemas.microsoft.com/office/drawing/2014/main" id="{9E1D44B1-CE9F-483E-A017-B64E824F9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36" name="Picture 2112" descr="spacer">
          <a:extLst>
            <a:ext uri="{FF2B5EF4-FFF2-40B4-BE49-F238E27FC236}">
              <a16:creationId xmlns:a16="http://schemas.microsoft.com/office/drawing/2014/main" id="{12A3F911-ED7D-4176-BCAF-406A9EF32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37" name="Picture 2130" descr="spacer">
          <a:extLst>
            <a:ext uri="{FF2B5EF4-FFF2-40B4-BE49-F238E27FC236}">
              <a16:creationId xmlns:a16="http://schemas.microsoft.com/office/drawing/2014/main" id="{33C7D91F-173D-4486-987E-02B73FDDC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38" name="Picture 2144" descr="spacer">
          <a:extLst>
            <a:ext uri="{FF2B5EF4-FFF2-40B4-BE49-F238E27FC236}">
              <a16:creationId xmlns:a16="http://schemas.microsoft.com/office/drawing/2014/main" id="{8B78A14D-1B37-4AE2-97F6-FA6EBDD7D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39" name="Picture 2162" descr="spacer">
          <a:extLst>
            <a:ext uri="{FF2B5EF4-FFF2-40B4-BE49-F238E27FC236}">
              <a16:creationId xmlns:a16="http://schemas.microsoft.com/office/drawing/2014/main" id="{A0D342C1-6B5A-4047-B661-C16979701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40" name="Picture 2180" descr="spacer">
          <a:extLst>
            <a:ext uri="{FF2B5EF4-FFF2-40B4-BE49-F238E27FC236}">
              <a16:creationId xmlns:a16="http://schemas.microsoft.com/office/drawing/2014/main" id="{0E0AFD30-1EC5-44DD-8674-230EF09CC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41" name="Picture 2197" descr="spacer">
          <a:extLst>
            <a:ext uri="{FF2B5EF4-FFF2-40B4-BE49-F238E27FC236}">
              <a16:creationId xmlns:a16="http://schemas.microsoft.com/office/drawing/2014/main" id="{85DB379C-8402-4854-9F16-A36B38BB1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42" name="Picture 2215" descr="spacer">
          <a:extLst>
            <a:ext uri="{FF2B5EF4-FFF2-40B4-BE49-F238E27FC236}">
              <a16:creationId xmlns:a16="http://schemas.microsoft.com/office/drawing/2014/main" id="{58E5EE49-1599-4E59-8A54-6F9771E50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43" name="Picture 2233" descr="spacer">
          <a:extLst>
            <a:ext uri="{FF2B5EF4-FFF2-40B4-BE49-F238E27FC236}">
              <a16:creationId xmlns:a16="http://schemas.microsoft.com/office/drawing/2014/main" id="{0B15B07D-BC99-4F69-BB4A-179AF0BE5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44" name="Picture 2250" descr="spacer">
          <a:extLst>
            <a:ext uri="{FF2B5EF4-FFF2-40B4-BE49-F238E27FC236}">
              <a16:creationId xmlns:a16="http://schemas.microsoft.com/office/drawing/2014/main" id="{00E1F846-070A-4B50-8469-74454D426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45" name="Picture 2267" descr="spacer">
          <a:extLst>
            <a:ext uri="{FF2B5EF4-FFF2-40B4-BE49-F238E27FC236}">
              <a16:creationId xmlns:a16="http://schemas.microsoft.com/office/drawing/2014/main" id="{ED43066A-55A0-432C-A58B-F4B424FB7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46" name="Picture 2285" descr="spacer">
          <a:extLst>
            <a:ext uri="{FF2B5EF4-FFF2-40B4-BE49-F238E27FC236}">
              <a16:creationId xmlns:a16="http://schemas.microsoft.com/office/drawing/2014/main" id="{9A4198C6-9253-40A0-B5AE-4235AC9BD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47" name="Picture 2303" descr="spacer">
          <a:extLst>
            <a:ext uri="{FF2B5EF4-FFF2-40B4-BE49-F238E27FC236}">
              <a16:creationId xmlns:a16="http://schemas.microsoft.com/office/drawing/2014/main" id="{812C6EAD-AF32-4991-B11F-B4218E1C8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48" name="Picture 2321" descr="spacer">
          <a:extLst>
            <a:ext uri="{FF2B5EF4-FFF2-40B4-BE49-F238E27FC236}">
              <a16:creationId xmlns:a16="http://schemas.microsoft.com/office/drawing/2014/main" id="{C92E3FFA-8728-4C77-BB7D-39BE1655C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49" name="Picture 2339" descr="spacer">
          <a:extLst>
            <a:ext uri="{FF2B5EF4-FFF2-40B4-BE49-F238E27FC236}">
              <a16:creationId xmlns:a16="http://schemas.microsoft.com/office/drawing/2014/main" id="{C7DE2CF1-0B30-406F-8348-B8A6659B1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50" name="Picture 2357" descr="spacer">
          <a:extLst>
            <a:ext uri="{FF2B5EF4-FFF2-40B4-BE49-F238E27FC236}">
              <a16:creationId xmlns:a16="http://schemas.microsoft.com/office/drawing/2014/main" id="{F2D7D2D5-75BC-45EA-AD07-FC1E0BE31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51" name="Picture 2374" descr="spacer">
          <a:extLst>
            <a:ext uri="{FF2B5EF4-FFF2-40B4-BE49-F238E27FC236}">
              <a16:creationId xmlns:a16="http://schemas.microsoft.com/office/drawing/2014/main" id="{98403BF2-26EB-4B9F-ACFC-A255F165F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52" name="Picture 2392" descr="spacer">
          <a:extLst>
            <a:ext uri="{FF2B5EF4-FFF2-40B4-BE49-F238E27FC236}">
              <a16:creationId xmlns:a16="http://schemas.microsoft.com/office/drawing/2014/main" id="{19891180-9C13-441F-A949-1A2299BEE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53" name="Picture 2409" descr="spacer">
          <a:extLst>
            <a:ext uri="{FF2B5EF4-FFF2-40B4-BE49-F238E27FC236}">
              <a16:creationId xmlns:a16="http://schemas.microsoft.com/office/drawing/2014/main" id="{1AD8459D-C49E-423C-8195-DE7A3A294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54" name="Picture 2426" descr="spacer">
          <a:extLst>
            <a:ext uri="{FF2B5EF4-FFF2-40B4-BE49-F238E27FC236}">
              <a16:creationId xmlns:a16="http://schemas.microsoft.com/office/drawing/2014/main" id="{6B636AB7-630B-44FC-91C6-2B690B1CA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55" name="Picture 2444" descr="spacer">
          <a:extLst>
            <a:ext uri="{FF2B5EF4-FFF2-40B4-BE49-F238E27FC236}">
              <a16:creationId xmlns:a16="http://schemas.microsoft.com/office/drawing/2014/main" id="{6E0DE528-F012-4B24-A1D3-EDB038CBC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56" name="Picture 2462" descr="spacer">
          <a:extLst>
            <a:ext uri="{FF2B5EF4-FFF2-40B4-BE49-F238E27FC236}">
              <a16:creationId xmlns:a16="http://schemas.microsoft.com/office/drawing/2014/main" id="{A946DE62-FECA-45F3-86D8-15763C03D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57" name="Picture 2479" descr="spacer">
          <a:extLst>
            <a:ext uri="{FF2B5EF4-FFF2-40B4-BE49-F238E27FC236}">
              <a16:creationId xmlns:a16="http://schemas.microsoft.com/office/drawing/2014/main" id="{FBA873FE-2CA4-4B88-BC74-8E08473FB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58" name="Picture 2496" descr="spacer">
          <a:extLst>
            <a:ext uri="{FF2B5EF4-FFF2-40B4-BE49-F238E27FC236}">
              <a16:creationId xmlns:a16="http://schemas.microsoft.com/office/drawing/2014/main" id="{C9B2840A-A384-4F00-9989-D6F885580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59" name="Picture 2513" descr="spacer">
          <a:extLst>
            <a:ext uri="{FF2B5EF4-FFF2-40B4-BE49-F238E27FC236}">
              <a16:creationId xmlns:a16="http://schemas.microsoft.com/office/drawing/2014/main" id="{A6D3F78A-EE91-4912-9D0F-E736F6E03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60" name="Picture 2531" descr="spacer">
          <a:extLst>
            <a:ext uri="{FF2B5EF4-FFF2-40B4-BE49-F238E27FC236}">
              <a16:creationId xmlns:a16="http://schemas.microsoft.com/office/drawing/2014/main" id="{0C74E2A0-02A0-46B5-9DD0-063EB1D2C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61" name="Picture 2549" descr="spacer">
          <a:extLst>
            <a:ext uri="{FF2B5EF4-FFF2-40B4-BE49-F238E27FC236}">
              <a16:creationId xmlns:a16="http://schemas.microsoft.com/office/drawing/2014/main" id="{31550408-2736-4CAB-91D7-2E3F6CD2B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4</xdr:col>
      <xdr:colOff>638175</xdr:colOff>
      <xdr:row>3</xdr:row>
      <xdr:rowOff>19050</xdr:rowOff>
    </xdr:to>
    <xdr:pic>
      <xdr:nvPicPr>
        <xdr:cNvPr id="462" name="Picture 2565" descr="spacer">
          <a:extLst>
            <a:ext uri="{FF2B5EF4-FFF2-40B4-BE49-F238E27FC236}">
              <a16:creationId xmlns:a16="http://schemas.microsoft.com/office/drawing/2014/main" id="{431A6F03-53BA-4343-82D9-899E2FC83D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38493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63" name="Picture 2569" descr="spacer">
          <a:extLst>
            <a:ext uri="{FF2B5EF4-FFF2-40B4-BE49-F238E27FC236}">
              <a16:creationId xmlns:a16="http://schemas.microsoft.com/office/drawing/2014/main" id="{B95F9505-AA2C-436D-A915-7A06A9DF6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64" name="Picture 2587" descr="spacer">
          <a:extLst>
            <a:ext uri="{FF2B5EF4-FFF2-40B4-BE49-F238E27FC236}">
              <a16:creationId xmlns:a16="http://schemas.microsoft.com/office/drawing/2014/main" id="{4C7390D5-1AA0-4C54-A55A-BFDAF0BD0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65" name="Picture 2604" descr="spacer">
          <a:extLst>
            <a:ext uri="{FF2B5EF4-FFF2-40B4-BE49-F238E27FC236}">
              <a16:creationId xmlns:a16="http://schemas.microsoft.com/office/drawing/2014/main" id="{BB4B1CA4-4695-4B7A-81B9-561ECC6F17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66" name="Picture 2621" descr="spacer">
          <a:extLst>
            <a:ext uri="{FF2B5EF4-FFF2-40B4-BE49-F238E27FC236}">
              <a16:creationId xmlns:a16="http://schemas.microsoft.com/office/drawing/2014/main" id="{AABFCE0F-C1F6-4B85-8458-5CB97FD3E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67" name="Picture 2639" descr="spacer">
          <a:extLst>
            <a:ext uri="{FF2B5EF4-FFF2-40B4-BE49-F238E27FC236}">
              <a16:creationId xmlns:a16="http://schemas.microsoft.com/office/drawing/2014/main" id="{7CF71BD4-200B-43DF-B5AD-6D1F9CDC7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68" name="Picture 2656" descr="spacer">
          <a:extLst>
            <a:ext uri="{FF2B5EF4-FFF2-40B4-BE49-F238E27FC236}">
              <a16:creationId xmlns:a16="http://schemas.microsoft.com/office/drawing/2014/main" id="{C601277C-4831-4CB2-A538-65A85FC003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69" name="Picture 2674" descr="spacer">
          <a:extLst>
            <a:ext uri="{FF2B5EF4-FFF2-40B4-BE49-F238E27FC236}">
              <a16:creationId xmlns:a16="http://schemas.microsoft.com/office/drawing/2014/main" id="{5192079A-6629-4CD6-BE3B-75507C859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70" name="Picture 2692" descr="spacer">
          <a:extLst>
            <a:ext uri="{FF2B5EF4-FFF2-40B4-BE49-F238E27FC236}">
              <a16:creationId xmlns:a16="http://schemas.microsoft.com/office/drawing/2014/main" id="{687BC5B2-0BCF-4E44-A177-CC11CCEF9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71" name="Picture 2710" descr="spacer">
          <a:extLst>
            <a:ext uri="{FF2B5EF4-FFF2-40B4-BE49-F238E27FC236}">
              <a16:creationId xmlns:a16="http://schemas.microsoft.com/office/drawing/2014/main" id="{ABC5D507-155F-421E-85E2-77E497A0D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72" name="Picture 2727" descr="spacer">
          <a:extLst>
            <a:ext uri="{FF2B5EF4-FFF2-40B4-BE49-F238E27FC236}">
              <a16:creationId xmlns:a16="http://schemas.microsoft.com/office/drawing/2014/main" id="{DE4CDD38-68CE-4A09-9C7C-7E356DD4B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73" name="Picture 2744" descr="spacer">
          <a:extLst>
            <a:ext uri="{FF2B5EF4-FFF2-40B4-BE49-F238E27FC236}">
              <a16:creationId xmlns:a16="http://schemas.microsoft.com/office/drawing/2014/main" id="{4334C2E7-5CBB-4BD4-9803-43E22AEBB4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74" name="Picture 2761" descr="spacer">
          <a:extLst>
            <a:ext uri="{FF2B5EF4-FFF2-40B4-BE49-F238E27FC236}">
              <a16:creationId xmlns:a16="http://schemas.microsoft.com/office/drawing/2014/main" id="{B7D3861A-BB40-4284-8C28-E5B4A871EB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75" name="Picture 2779" descr="spacer">
          <a:extLst>
            <a:ext uri="{FF2B5EF4-FFF2-40B4-BE49-F238E27FC236}">
              <a16:creationId xmlns:a16="http://schemas.microsoft.com/office/drawing/2014/main" id="{209BAD91-C8C7-4F84-A2BD-2CE151C12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76" name="Picture 2797" descr="spacer">
          <a:extLst>
            <a:ext uri="{FF2B5EF4-FFF2-40B4-BE49-F238E27FC236}">
              <a16:creationId xmlns:a16="http://schemas.microsoft.com/office/drawing/2014/main" id="{FE6D6AEB-E87A-49CE-A6F4-E607B7406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77" name="Picture 2815" descr="spacer">
          <a:extLst>
            <a:ext uri="{FF2B5EF4-FFF2-40B4-BE49-F238E27FC236}">
              <a16:creationId xmlns:a16="http://schemas.microsoft.com/office/drawing/2014/main" id="{268F7AE2-1884-4861-A564-1AB1E02D3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78" name="Picture 2833" descr="spacer">
          <a:extLst>
            <a:ext uri="{FF2B5EF4-FFF2-40B4-BE49-F238E27FC236}">
              <a16:creationId xmlns:a16="http://schemas.microsoft.com/office/drawing/2014/main" id="{BA6F982B-7FB6-4A3B-80A8-071F9D3C0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79" name="Picture 2850" descr="spacer">
          <a:extLst>
            <a:ext uri="{FF2B5EF4-FFF2-40B4-BE49-F238E27FC236}">
              <a16:creationId xmlns:a16="http://schemas.microsoft.com/office/drawing/2014/main" id="{935B6102-7AC0-4B91-8A67-783F1E074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80" name="Picture 2868" descr="spacer">
          <a:extLst>
            <a:ext uri="{FF2B5EF4-FFF2-40B4-BE49-F238E27FC236}">
              <a16:creationId xmlns:a16="http://schemas.microsoft.com/office/drawing/2014/main" id="{09E6F982-8A44-4C0E-88C3-E024A8C08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81" name="Picture 2886" descr="spacer">
          <a:extLst>
            <a:ext uri="{FF2B5EF4-FFF2-40B4-BE49-F238E27FC236}">
              <a16:creationId xmlns:a16="http://schemas.microsoft.com/office/drawing/2014/main" id="{E37D9B8E-FF3B-4A6F-8761-7870DD525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82" name="Picture 2904" descr="spacer">
          <a:extLst>
            <a:ext uri="{FF2B5EF4-FFF2-40B4-BE49-F238E27FC236}">
              <a16:creationId xmlns:a16="http://schemas.microsoft.com/office/drawing/2014/main" id="{82BB5636-9B6D-4D10-ADAC-1F7419113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83" name="Picture 2921" descr="spacer">
          <a:extLst>
            <a:ext uri="{FF2B5EF4-FFF2-40B4-BE49-F238E27FC236}">
              <a16:creationId xmlns:a16="http://schemas.microsoft.com/office/drawing/2014/main" id="{EF0CA70D-E5CB-49BD-A074-A2591762B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84" name="Picture 2939" descr="spacer">
          <a:extLst>
            <a:ext uri="{FF2B5EF4-FFF2-40B4-BE49-F238E27FC236}">
              <a16:creationId xmlns:a16="http://schemas.microsoft.com/office/drawing/2014/main" id="{9B68B8F8-DADC-407D-8B9D-A94347D19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85" name="Picture 2955" descr="spacer">
          <a:extLst>
            <a:ext uri="{FF2B5EF4-FFF2-40B4-BE49-F238E27FC236}">
              <a16:creationId xmlns:a16="http://schemas.microsoft.com/office/drawing/2014/main" id="{E8156641-ADA4-4C11-ACFD-0D494D081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86" name="Picture 2972" descr="spacer">
          <a:extLst>
            <a:ext uri="{FF2B5EF4-FFF2-40B4-BE49-F238E27FC236}">
              <a16:creationId xmlns:a16="http://schemas.microsoft.com/office/drawing/2014/main" id="{023D7576-21E3-410B-9FD9-C1C74CB6E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87" name="Picture 2990" descr="spacer">
          <a:extLst>
            <a:ext uri="{FF2B5EF4-FFF2-40B4-BE49-F238E27FC236}">
              <a16:creationId xmlns:a16="http://schemas.microsoft.com/office/drawing/2014/main" id="{5BE4E690-DA91-4BB9-B939-6BA7CD2C3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88" name="Picture 3008" descr="spacer">
          <a:extLst>
            <a:ext uri="{FF2B5EF4-FFF2-40B4-BE49-F238E27FC236}">
              <a16:creationId xmlns:a16="http://schemas.microsoft.com/office/drawing/2014/main" id="{0B56805E-B60C-4049-996D-4DB8AEA4D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89" name="Picture 3027" descr="spacer">
          <a:extLst>
            <a:ext uri="{FF2B5EF4-FFF2-40B4-BE49-F238E27FC236}">
              <a16:creationId xmlns:a16="http://schemas.microsoft.com/office/drawing/2014/main" id="{8391CD7C-3F11-4F14-9D30-4CC15AA760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90" name="Picture 3045" descr="spacer">
          <a:extLst>
            <a:ext uri="{FF2B5EF4-FFF2-40B4-BE49-F238E27FC236}">
              <a16:creationId xmlns:a16="http://schemas.microsoft.com/office/drawing/2014/main" id="{9EFE075C-C74F-4B51-ADC7-868F3BF6E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91" name="Picture 3063" descr="spacer">
          <a:extLst>
            <a:ext uri="{FF2B5EF4-FFF2-40B4-BE49-F238E27FC236}">
              <a16:creationId xmlns:a16="http://schemas.microsoft.com/office/drawing/2014/main" id="{873B41C8-D719-4866-9BB3-A7ED99ADF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92" name="Picture 3081" descr="spacer">
          <a:extLst>
            <a:ext uri="{FF2B5EF4-FFF2-40B4-BE49-F238E27FC236}">
              <a16:creationId xmlns:a16="http://schemas.microsoft.com/office/drawing/2014/main" id="{35BAC2BB-32A6-4382-AEFD-38E31C388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93" name="Picture 3099" descr="spacer">
          <a:extLst>
            <a:ext uri="{FF2B5EF4-FFF2-40B4-BE49-F238E27FC236}">
              <a16:creationId xmlns:a16="http://schemas.microsoft.com/office/drawing/2014/main" id="{BA43C502-F982-4722-8413-829485754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94" name="Picture 3116" descr="spacer">
          <a:extLst>
            <a:ext uri="{FF2B5EF4-FFF2-40B4-BE49-F238E27FC236}">
              <a16:creationId xmlns:a16="http://schemas.microsoft.com/office/drawing/2014/main" id="{55F2720B-75FA-45B1-90AB-E70EF4C95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95" name="Picture 3134" descr="spacer">
          <a:extLst>
            <a:ext uri="{FF2B5EF4-FFF2-40B4-BE49-F238E27FC236}">
              <a16:creationId xmlns:a16="http://schemas.microsoft.com/office/drawing/2014/main" id="{C8ACE8B8-D46B-4427-AADE-67D21E681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96" name="Picture 3152" descr="spacer">
          <a:extLst>
            <a:ext uri="{FF2B5EF4-FFF2-40B4-BE49-F238E27FC236}">
              <a16:creationId xmlns:a16="http://schemas.microsoft.com/office/drawing/2014/main" id="{9D894DB8-F3E1-439B-B061-A66C52211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97" name="Picture 3169" descr="spacer">
          <a:extLst>
            <a:ext uri="{FF2B5EF4-FFF2-40B4-BE49-F238E27FC236}">
              <a16:creationId xmlns:a16="http://schemas.microsoft.com/office/drawing/2014/main" id="{9DC0D1D0-F8D4-4FC8-95EF-67FC9E9BE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98" name="Picture 3186" descr="spacer">
          <a:extLst>
            <a:ext uri="{FF2B5EF4-FFF2-40B4-BE49-F238E27FC236}">
              <a16:creationId xmlns:a16="http://schemas.microsoft.com/office/drawing/2014/main" id="{576F2060-6659-4B04-B0AF-0E17AB092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499" name="Picture 3204" descr="spacer">
          <a:extLst>
            <a:ext uri="{FF2B5EF4-FFF2-40B4-BE49-F238E27FC236}">
              <a16:creationId xmlns:a16="http://schemas.microsoft.com/office/drawing/2014/main" id="{C6920144-3E5C-45F8-B133-0602530AE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500" name="Picture 3222" descr="spacer">
          <a:extLst>
            <a:ext uri="{FF2B5EF4-FFF2-40B4-BE49-F238E27FC236}">
              <a16:creationId xmlns:a16="http://schemas.microsoft.com/office/drawing/2014/main" id="{898316CD-7648-4760-8247-C54090A7A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501" name="Picture 3238" descr="spacer">
          <a:extLst>
            <a:ext uri="{FF2B5EF4-FFF2-40B4-BE49-F238E27FC236}">
              <a16:creationId xmlns:a16="http://schemas.microsoft.com/office/drawing/2014/main" id="{621246B0-E5AC-4CF5-8A48-E68C96654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502" name="Picture 3254" descr="spacer">
          <a:extLst>
            <a:ext uri="{FF2B5EF4-FFF2-40B4-BE49-F238E27FC236}">
              <a16:creationId xmlns:a16="http://schemas.microsoft.com/office/drawing/2014/main" id="{293FD3FF-B09A-45B7-A8B3-FE91D8F5A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4</xdr:col>
      <xdr:colOff>638175</xdr:colOff>
      <xdr:row>3</xdr:row>
      <xdr:rowOff>19050</xdr:rowOff>
    </xdr:to>
    <xdr:pic>
      <xdr:nvPicPr>
        <xdr:cNvPr id="503" name="Picture 3270" descr="spacer">
          <a:extLst>
            <a:ext uri="{FF2B5EF4-FFF2-40B4-BE49-F238E27FC236}">
              <a16:creationId xmlns:a16="http://schemas.microsoft.com/office/drawing/2014/main" id="{A755700B-7CF0-46AF-B330-26EFA36F2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38493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504" name="Picture 3275" descr="spacer">
          <a:extLst>
            <a:ext uri="{FF2B5EF4-FFF2-40B4-BE49-F238E27FC236}">
              <a16:creationId xmlns:a16="http://schemas.microsoft.com/office/drawing/2014/main" id="{D63A5937-112E-403A-BD63-1239A696E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505" name="Picture 3292" descr="spacer">
          <a:extLst>
            <a:ext uri="{FF2B5EF4-FFF2-40B4-BE49-F238E27FC236}">
              <a16:creationId xmlns:a16="http://schemas.microsoft.com/office/drawing/2014/main" id="{0F427C6A-5921-44D2-A118-E8059F043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506" name="Picture 3310" descr="spacer">
          <a:extLst>
            <a:ext uri="{FF2B5EF4-FFF2-40B4-BE49-F238E27FC236}">
              <a16:creationId xmlns:a16="http://schemas.microsoft.com/office/drawing/2014/main" id="{BDD2077D-F1EC-449F-813D-2EEA39E65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507" name="Picture 3328" descr="spacer">
          <a:extLst>
            <a:ext uri="{FF2B5EF4-FFF2-40B4-BE49-F238E27FC236}">
              <a16:creationId xmlns:a16="http://schemas.microsoft.com/office/drawing/2014/main" id="{C41BF341-D528-4AF6-BDBB-6B1C48A0E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508" name="Picture 3346" descr="spacer">
          <a:extLst>
            <a:ext uri="{FF2B5EF4-FFF2-40B4-BE49-F238E27FC236}">
              <a16:creationId xmlns:a16="http://schemas.microsoft.com/office/drawing/2014/main" id="{A00D7D03-A7B5-4059-8FB0-97294F95C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509" name="Picture 3364" descr="spacer">
          <a:extLst>
            <a:ext uri="{FF2B5EF4-FFF2-40B4-BE49-F238E27FC236}">
              <a16:creationId xmlns:a16="http://schemas.microsoft.com/office/drawing/2014/main" id="{9AAAE2FA-EA7C-4E0D-8916-4DCA42A69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510" name="Picture 3379" descr="spacer">
          <a:extLst>
            <a:ext uri="{FF2B5EF4-FFF2-40B4-BE49-F238E27FC236}">
              <a16:creationId xmlns:a16="http://schemas.microsoft.com/office/drawing/2014/main" id="{AAAA725D-EBB7-4B25-83C7-6DD4F849D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511" name="Picture 3398" descr="spacer">
          <a:extLst>
            <a:ext uri="{FF2B5EF4-FFF2-40B4-BE49-F238E27FC236}">
              <a16:creationId xmlns:a16="http://schemas.microsoft.com/office/drawing/2014/main" id="{1253BA7F-2C14-47A1-96D9-4AAB7A1A8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512" name="Picture 3415" descr="spacer">
          <a:extLst>
            <a:ext uri="{FF2B5EF4-FFF2-40B4-BE49-F238E27FC236}">
              <a16:creationId xmlns:a16="http://schemas.microsoft.com/office/drawing/2014/main" id="{01366914-46A6-41D9-8089-9E8280882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513" name="Picture 3430" descr="spacer">
          <a:extLst>
            <a:ext uri="{FF2B5EF4-FFF2-40B4-BE49-F238E27FC236}">
              <a16:creationId xmlns:a16="http://schemas.microsoft.com/office/drawing/2014/main" id="{ACBE05AA-3C3A-4A5E-A1C9-5984BDBD5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514" name="Picture 3448" descr="spacer">
          <a:extLst>
            <a:ext uri="{FF2B5EF4-FFF2-40B4-BE49-F238E27FC236}">
              <a16:creationId xmlns:a16="http://schemas.microsoft.com/office/drawing/2014/main" id="{D8A0EE9C-B05F-482F-AC77-EAB4B6FA4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515" name="Picture 3465" descr="spacer">
          <a:extLst>
            <a:ext uri="{FF2B5EF4-FFF2-40B4-BE49-F238E27FC236}">
              <a16:creationId xmlns:a16="http://schemas.microsoft.com/office/drawing/2014/main" id="{5D98FBA2-CF4B-4D6F-8222-8D41AF7FF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516" name="Picture 3482" descr="spacer">
          <a:extLst>
            <a:ext uri="{FF2B5EF4-FFF2-40B4-BE49-F238E27FC236}">
              <a16:creationId xmlns:a16="http://schemas.microsoft.com/office/drawing/2014/main" id="{14BD74AE-74EB-4909-96CA-B74CAFF71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517" name="Picture 3500" descr="spacer">
          <a:extLst>
            <a:ext uri="{FF2B5EF4-FFF2-40B4-BE49-F238E27FC236}">
              <a16:creationId xmlns:a16="http://schemas.microsoft.com/office/drawing/2014/main" id="{2E6D8A00-F91C-4208-896D-92432B644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518" name="Picture 3518" descr="spacer">
          <a:extLst>
            <a:ext uri="{FF2B5EF4-FFF2-40B4-BE49-F238E27FC236}">
              <a16:creationId xmlns:a16="http://schemas.microsoft.com/office/drawing/2014/main" id="{8E4FC2E3-7C8E-4926-9246-729C31F61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519" name="Picture 3536" descr="spacer">
          <a:extLst>
            <a:ext uri="{FF2B5EF4-FFF2-40B4-BE49-F238E27FC236}">
              <a16:creationId xmlns:a16="http://schemas.microsoft.com/office/drawing/2014/main" id="{908AD082-811D-47ED-A5FC-9A68A344E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5</xdr:col>
      <xdr:colOff>87630</xdr:colOff>
      <xdr:row>3</xdr:row>
      <xdr:rowOff>19050</xdr:rowOff>
    </xdr:to>
    <xdr:pic>
      <xdr:nvPicPr>
        <xdr:cNvPr id="520" name="Picture 3553" descr="spacer">
          <a:extLst>
            <a:ext uri="{FF2B5EF4-FFF2-40B4-BE49-F238E27FC236}">
              <a16:creationId xmlns:a16="http://schemas.microsoft.com/office/drawing/2014/main" id="{6A604792-0F9B-4E6F-A395-1B1E10DFB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2060" y="0"/>
          <a:ext cx="156591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348615</xdr:colOff>
      <xdr:row>3</xdr:row>
      <xdr:rowOff>19050</xdr:rowOff>
    </xdr:to>
    <xdr:pic>
      <xdr:nvPicPr>
        <xdr:cNvPr id="521" name="Picture 93" descr="spacer">
          <a:extLst>
            <a:ext uri="{FF2B5EF4-FFF2-40B4-BE49-F238E27FC236}">
              <a16:creationId xmlns:a16="http://schemas.microsoft.com/office/drawing/2014/main" id="{89A69BD8-1208-42AD-85EA-76B5B1D12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01155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348615</xdr:colOff>
      <xdr:row>3</xdr:row>
      <xdr:rowOff>19050</xdr:rowOff>
    </xdr:to>
    <xdr:pic>
      <xdr:nvPicPr>
        <xdr:cNvPr id="522" name="Picture 110" descr="spacer">
          <a:extLst>
            <a:ext uri="{FF2B5EF4-FFF2-40B4-BE49-F238E27FC236}">
              <a16:creationId xmlns:a16="http://schemas.microsoft.com/office/drawing/2014/main" id="{54F3A3F9-9E45-4150-B4F2-A796093B4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01155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523" name="Picture 114" descr="spacer">
          <a:extLst>
            <a:ext uri="{FF2B5EF4-FFF2-40B4-BE49-F238E27FC236}">
              <a16:creationId xmlns:a16="http://schemas.microsoft.com/office/drawing/2014/main" id="{96D19DB4-E0B9-45AF-8F47-D32AD5D48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24" name="Picture 116" descr="spacer">
          <a:extLst>
            <a:ext uri="{FF2B5EF4-FFF2-40B4-BE49-F238E27FC236}">
              <a16:creationId xmlns:a16="http://schemas.microsoft.com/office/drawing/2014/main" id="{3D4C04CA-18D5-46B7-A561-C38E6C3E6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25" name="Picture 117" descr="spacer">
          <a:extLst>
            <a:ext uri="{FF2B5EF4-FFF2-40B4-BE49-F238E27FC236}">
              <a16:creationId xmlns:a16="http://schemas.microsoft.com/office/drawing/2014/main" id="{8774103F-5117-475E-B25B-F69E6D3AC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26" name="Picture 118" descr="spacer">
          <a:extLst>
            <a:ext uri="{FF2B5EF4-FFF2-40B4-BE49-F238E27FC236}">
              <a16:creationId xmlns:a16="http://schemas.microsoft.com/office/drawing/2014/main" id="{24B8D86F-2CBE-447A-97D4-BEDDED2D1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27" name="Picture 119" descr="spacer">
          <a:extLst>
            <a:ext uri="{FF2B5EF4-FFF2-40B4-BE49-F238E27FC236}">
              <a16:creationId xmlns:a16="http://schemas.microsoft.com/office/drawing/2014/main" id="{E3C00C44-BB60-437E-99E2-A4ED026BC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28" name="Picture 120" descr="spacer">
          <a:extLst>
            <a:ext uri="{FF2B5EF4-FFF2-40B4-BE49-F238E27FC236}">
              <a16:creationId xmlns:a16="http://schemas.microsoft.com/office/drawing/2014/main" id="{8ACA0C68-C045-4B98-A800-E84E58531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29" name="Picture 121" descr="spacer">
          <a:extLst>
            <a:ext uri="{FF2B5EF4-FFF2-40B4-BE49-F238E27FC236}">
              <a16:creationId xmlns:a16="http://schemas.microsoft.com/office/drawing/2014/main" id="{0508E40D-F4C8-4E55-BA3E-D8D470C5B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30" name="Picture 122" descr="spacer">
          <a:extLst>
            <a:ext uri="{FF2B5EF4-FFF2-40B4-BE49-F238E27FC236}">
              <a16:creationId xmlns:a16="http://schemas.microsoft.com/office/drawing/2014/main" id="{B6E03750-F85A-4905-82FF-8DB039DC7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31" name="Picture 123" descr="spacer">
          <a:extLst>
            <a:ext uri="{FF2B5EF4-FFF2-40B4-BE49-F238E27FC236}">
              <a16:creationId xmlns:a16="http://schemas.microsoft.com/office/drawing/2014/main" id="{F64DD11A-7192-472B-BB96-F2F89DFB0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32" name="Picture 124" descr="spacer">
          <a:extLst>
            <a:ext uri="{FF2B5EF4-FFF2-40B4-BE49-F238E27FC236}">
              <a16:creationId xmlns:a16="http://schemas.microsoft.com/office/drawing/2014/main" id="{8FAB1BD9-DA62-41B2-A318-DE759112A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33" name="Picture 125" descr="spacer">
          <a:extLst>
            <a:ext uri="{FF2B5EF4-FFF2-40B4-BE49-F238E27FC236}">
              <a16:creationId xmlns:a16="http://schemas.microsoft.com/office/drawing/2014/main" id="{6600192B-6970-4D73-B07D-489C0DBF26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34" name="Picture 126" descr="spacer">
          <a:extLst>
            <a:ext uri="{FF2B5EF4-FFF2-40B4-BE49-F238E27FC236}">
              <a16:creationId xmlns:a16="http://schemas.microsoft.com/office/drawing/2014/main" id="{8BD14B95-0A91-4199-9312-8C19C233C0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35" name="Picture 127" descr="spacer">
          <a:extLst>
            <a:ext uri="{FF2B5EF4-FFF2-40B4-BE49-F238E27FC236}">
              <a16:creationId xmlns:a16="http://schemas.microsoft.com/office/drawing/2014/main" id="{B3F715AF-72E6-400A-9329-947D9E0A0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36" name="Picture 128" descr="spacer">
          <a:extLst>
            <a:ext uri="{FF2B5EF4-FFF2-40B4-BE49-F238E27FC236}">
              <a16:creationId xmlns:a16="http://schemas.microsoft.com/office/drawing/2014/main" id="{FDC0E16C-3D15-46CE-A96D-35BA3CC42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37" name="Picture 129" descr="spacer">
          <a:extLst>
            <a:ext uri="{FF2B5EF4-FFF2-40B4-BE49-F238E27FC236}">
              <a16:creationId xmlns:a16="http://schemas.microsoft.com/office/drawing/2014/main" id="{9209BAAD-641C-4D8A-BE1E-A6EC7C3BE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38" name="Picture 130" descr="spacer">
          <a:extLst>
            <a:ext uri="{FF2B5EF4-FFF2-40B4-BE49-F238E27FC236}">
              <a16:creationId xmlns:a16="http://schemas.microsoft.com/office/drawing/2014/main" id="{E4F9F633-CDDB-4A54-91FE-685E73E6D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539" name="Picture 132" descr="spacer">
          <a:extLst>
            <a:ext uri="{FF2B5EF4-FFF2-40B4-BE49-F238E27FC236}">
              <a16:creationId xmlns:a16="http://schemas.microsoft.com/office/drawing/2014/main" id="{C87060D7-FCD9-45C9-8E88-DBF2B24510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348615</xdr:colOff>
      <xdr:row>3</xdr:row>
      <xdr:rowOff>19050</xdr:rowOff>
    </xdr:to>
    <xdr:pic>
      <xdr:nvPicPr>
        <xdr:cNvPr id="540" name="Picture 133" descr="spacer">
          <a:extLst>
            <a:ext uri="{FF2B5EF4-FFF2-40B4-BE49-F238E27FC236}">
              <a16:creationId xmlns:a16="http://schemas.microsoft.com/office/drawing/2014/main" id="{1CB206F2-86D5-4AE6-9710-9D296EBC5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01155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541" name="Picture 137" descr="spacer">
          <a:extLst>
            <a:ext uri="{FF2B5EF4-FFF2-40B4-BE49-F238E27FC236}">
              <a16:creationId xmlns:a16="http://schemas.microsoft.com/office/drawing/2014/main" id="{36F5E79D-9899-476B-85A5-F119A8DA5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42" name="Picture 139" descr="spacer">
          <a:extLst>
            <a:ext uri="{FF2B5EF4-FFF2-40B4-BE49-F238E27FC236}">
              <a16:creationId xmlns:a16="http://schemas.microsoft.com/office/drawing/2014/main" id="{44DD4212-D538-4C3C-AE74-7859B13438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43" name="Picture 140" descr="spacer">
          <a:extLst>
            <a:ext uri="{FF2B5EF4-FFF2-40B4-BE49-F238E27FC236}">
              <a16:creationId xmlns:a16="http://schemas.microsoft.com/office/drawing/2014/main" id="{F64D0AED-D594-42C9-BEE4-BF972BBD6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44" name="Picture 141" descr="spacer">
          <a:extLst>
            <a:ext uri="{FF2B5EF4-FFF2-40B4-BE49-F238E27FC236}">
              <a16:creationId xmlns:a16="http://schemas.microsoft.com/office/drawing/2014/main" id="{ED89F76C-5A59-4C49-8C7E-8C83F605D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45" name="Picture 142" descr="spacer">
          <a:extLst>
            <a:ext uri="{FF2B5EF4-FFF2-40B4-BE49-F238E27FC236}">
              <a16:creationId xmlns:a16="http://schemas.microsoft.com/office/drawing/2014/main" id="{E9CBEB9F-257C-4795-B20D-8F21855B1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46" name="Picture 143" descr="spacer">
          <a:extLst>
            <a:ext uri="{FF2B5EF4-FFF2-40B4-BE49-F238E27FC236}">
              <a16:creationId xmlns:a16="http://schemas.microsoft.com/office/drawing/2014/main" id="{6D4912AD-AB06-4311-978C-CFB5CD216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47" name="Picture 144" descr="spacer">
          <a:extLst>
            <a:ext uri="{FF2B5EF4-FFF2-40B4-BE49-F238E27FC236}">
              <a16:creationId xmlns:a16="http://schemas.microsoft.com/office/drawing/2014/main" id="{9D205717-ADF4-47F1-A078-4061B7EAA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48" name="Picture 145" descr="spacer">
          <a:extLst>
            <a:ext uri="{FF2B5EF4-FFF2-40B4-BE49-F238E27FC236}">
              <a16:creationId xmlns:a16="http://schemas.microsoft.com/office/drawing/2014/main" id="{823936D2-4E85-4D83-857B-04A97305C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49" name="Picture 146" descr="spacer">
          <a:extLst>
            <a:ext uri="{FF2B5EF4-FFF2-40B4-BE49-F238E27FC236}">
              <a16:creationId xmlns:a16="http://schemas.microsoft.com/office/drawing/2014/main" id="{EE5B822F-7CCC-4D7D-A6D0-5301485F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50" name="Picture 147" descr="spacer">
          <a:extLst>
            <a:ext uri="{FF2B5EF4-FFF2-40B4-BE49-F238E27FC236}">
              <a16:creationId xmlns:a16="http://schemas.microsoft.com/office/drawing/2014/main" id="{54E62DBC-B1AA-4CFE-AB7E-EF57517D9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51" name="Picture 148" descr="spacer">
          <a:extLst>
            <a:ext uri="{FF2B5EF4-FFF2-40B4-BE49-F238E27FC236}">
              <a16:creationId xmlns:a16="http://schemas.microsoft.com/office/drawing/2014/main" id="{56119D2F-7BCC-4F76-BA20-F86EDCEFF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52" name="Picture 149" descr="spacer">
          <a:extLst>
            <a:ext uri="{FF2B5EF4-FFF2-40B4-BE49-F238E27FC236}">
              <a16:creationId xmlns:a16="http://schemas.microsoft.com/office/drawing/2014/main" id="{98C3FA4B-6824-4A67-9E38-F686C875B4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53" name="Picture 150" descr="spacer">
          <a:extLst>
            <a:ext uri="{FF2B5EF4-FFF2-40B4-BE49-F238E27FC236}">
              <a16:creationId xmlns:a16="http://schemas.microsoft.com/office/drawing/2014/main" id="{CDDBB6F7-67BF-4C2E-AD6A-90D14B12B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54" name="Picture 151" descr="spacer">
          <a:extLst>
            <a:ext uri="{FF2B5EF4-FFF2-40B4-BE49-F238E27FC236}">
              <a16:creationId xmlns:a16="http://schemas.microsoft.com/office/drawing/2014/main" id="{19C28998-3912-4F16-B145-B6C85C685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55" name="Picture 152" descr="spacer">
          <a:extLst>
            <a:ext uri="{FF2B5EF4-FFF2-40B4-BE49-F238E27FC236}">
              <a16:creationId xmlns:a16="http://schemas.microsoft.com/office/drawing/2014/main" id="{9DD283BD-1536-46AE-8618-AB1AEB675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56" name="Picture 153" descr="spacer">
          <a:extLst>
            <a:ext uri="{FF2B5EF4-FFF2-40B4-BE49-F238E27FC236}">
              <a16:creationId xmlns:a16="http://schemas.microsoft.com/office/drawing/2014/main" id="{E219DDDB-5EA1-472F-AD39-984DB6698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557" name="Picture 155" descr="spacer">
          <a:extLst>
            <a:ext uri="{FF2B5EF4-FFF2-40B4-BE49-F238E27FC236}">
              <a16:creationId xmlns:a16="http://schemas.microsoft.com/office/drawing/2014/main" id="{5CEECE3B-B37C-4650-8F50-403F3EA60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348615</xdr:colOff>
      <xdr:row>3</xdr:row>
      <xdr:rowOff>19050</xdr:rowOff>
    </xdr:to>
    <xdr:pic>
      <xdr:nvPicPr>
        <xdr:cNvPr id="558" name="Picture 156" descr="spacer">
          <a:extLst>
            <a:ext uri="{FF2B5EF4-FFF2-40B4-BE49-F238E27FC236}">
              <a16:creationId xmlns:a16="http://schemas.microsoft.com/office/drawing/2014/main" id="{CDC64250-0449-4102-8528-9B141A0E4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01155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559" name="Picture 244" descr="spacer">
          <a:extLst>
            <a:ext uri="{FF2B5EF4-FFF2-40B4-BE49-F238E27FC236}">
              <a16:creationId xmlns:a16="http://schemas.microsoft.com/office/drawing/2014/main" id="{61A370BB-5662-4E25-8E2E-634D26FF4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60" name="Picture 246" descr="spacer">
          <a:extLst>
            <a:ext uri="{FF2B5EF4-FFF2-40B4-BE49-F238E27FC236}">
              <a16:creationId xmlns:a16="http://schemas.microsoft.com/office/drawing/2014/main" id="{5679F9CA-01F4-483E-AC3B-7CFE5A03D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61" name="Picture 247" descr="spacer">
          <a:extLst>
            <a:ext uri="{FF2B5EF4-FFF2-40B4-BE49-F238E27FC236}">
              <a16:creationId xmlns:a16="http://schemas.microsoft.com/office/drawing/2014/main" id="{ED978D23-E5F4-422A-B80B-13444835B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62" name="Picture 248" descr="spacer">
          <a:extLst>
            <a:ext uri="{FF2B5EF4-FFF2-40B4-BE49-F238E27FC236}">
              <a16:creationId xmlns:a16="http://schemas.microsoft.com/office/drawing/2014/main" id="{62BB878A-46E6-439C-8E2E-4D7D39CC0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63" name="Picture 249" descr="spacer">
          <a:extLst>
            <a:ext uri="{FF2B5EF4-FFF2-40B4-BE49-F238E27FC236}">
              <a16:creationId xmlns:a16="http://schemas.microsoft.com/office/drawing/2014/main" id="{82504AFC-E1D6-4144-AE73-43B38E590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64" name="Picture 250" descr="spacer">
          <a:extLst>
            <a:ext uri="{FF2B5EF4-FFF2-40B4-BE49-F238E27FC236}">
              <a16:creationId xmlns:a16="http://schemas.microsoft.com/office/drawing/2014/main" id="{9EE88E9C-54B9-42A7-BD98-7B06DF68F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65" name="Picture 251" descr="spacer">
          <a:extLst>
            <a:ext uri="{FF2B5EF4-FFF2-40B4-BE49-F238E27FC236}">
              <a16:creationId xmlns:a16="http://schemas.microsoft.com/office/drawing/2014/main" id="{06E439D1-9DFF-4160-8C9B-E1D55565B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66" name="Picture 252" descr="spacer">
          <a:extLst>
            <a:ext uri="{FF2B5EF4-FFF2-40B4-BE49-F238E27FC236}">
              <a16:creationId xmlns:a16="http://schemas.microsoft.com/office/drawing/2014/main" id="{467FBA66-1015-40F7-82E8-57FE5386A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67" name="Picture 253" descr="spacer">
          <a:extLst>
            <a:ext uri="{FF2B5EF4-FFF2-40B4-BE49-F238E27FC236}">
              <a16:creationId xmlns:a16="http://schemas.microsoft.com/office/drawing/2014/main" id="{63994C9D-31EE-49EB-8F4F-84F6CBDDC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68" name="Picture 254" descr="spacer">
          <a:extLst>
            <a:ext uri="{FF2B5EF4-FFF2-40B4-BE49-F238E27FC236}">
              <a16:creationId xmlns:a16="http://schemas.microsoft.com/office/drawing/2014/main" id="{3E8E35C9-4152-4F23-AA57-5528100D09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69" name="Picture 255" descr="spacer">
          <a:extLst>
            <a:ext uri="{FF2B5EF4-FFF2-40B4-BE49-F238E27FC236}">
              <a16:creationId xmlns:a16="http://schemas.microsoft.com/office/drawing/2014/main" id="{54AF55A7-DCAA-4A69-A1A4-3B5579E9C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70" name="Picture 256" descr="spacer">
          <a:extLst>
            <a:ext uri="{FF2B5EF4-FFF2-40B4-BE49-F238E27FC236}">
              <a16:creationId xmlns:a16="http://schemas.microsoft.com/office/drawing/2014/main" id="{2DFF75D8-974C-4F8D-A412-10BF99112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71" name="Picture 257" descr="spacer">
          <a:extLst>
            <a:ext uri="{FF2B5EF4-FFF2-40B4-BE49-F238E27FC236}">
              <a16:creationId xmlns:a16="http://schemas.microsoft.com/office/drawing/2014/main" id="{003B8010-AECE-4656-90D4-9D592475D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72" name="Picture 258" descr="spacer">
          <a:extLst>
            <a:ext uri="{FF2B5EF4-FFF2-40B4-BE49-F238E27FC236}">
              <a16:creationId xmlns:a16="http://schemas.microsoft.com/office/drawing/2014/main" id="{96EEA38E-DDDE-49A7-8ECE-83909AF75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73" name="Picture 259" descr="spacer">
          <a:extLst>
            <a:ext uri="{FF2B5EF4-FFF2-40B4-BE49-F238E27FC236}">
              <a16:creationId xmlns:a16="http://schemas.microsoft.com/office/drawing/2014/main" id="{72EEB39A-A8B2-438D-8F24-281EEF5BB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574" name="Picture 262" descr="spacer">
          <a:extLst>
            <a:ext uri="{FF2B5EF4-FFF2-40B4-BE49-F238E27FC236}">
              <a16:creationId xmlns:a16="http://schemas.microsoft.com/office/drawing/2014/main" id="{2D69122B-167F-47F7-84C5-A5B2EB758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75" name="Picture 264" descr="spacer">
          <a:extLst>
            <a:ext uri="{FF2B5EF4-FFF2-40B4-BE49-F238E27FC236}">
              <a16:creationId xmlns:a16="http://schemas.microsoft.com/office/drawing/2014/main" id="{52B334AB-39D4-48AC-A42E-24801457F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76" name="Picture 265" descr="spacer">
          <a:extLst>
            <a:ext uri="{FF2B5EF4-FFF2-40B4-BE49-F238E27FC236}">
              <a16:creationId xmlns:a16="http://schemas.microsoft.com/office/drawing/2014/main" id="{16453FAE-07B5-47BF-90CF-116115283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77" name="Picture 266" descr="spacer">
          <a:extLst>
            <a:ext uri="{FF2B5EF4-FFF2-40B4-BE49-F238E27FC236}">
              <a16:creationId xmlns:a16="http://schemas.microsoft.com/office/drawing/2014/main" id="{194A9865-9F4B-4E26-B036-05F737C70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78" name="Picture 267" descr="spacer">
          <a:extLst>
            <a:ext uri="{FF2B5EF4-FFF2-40B4-BE49-F238E27FC236}">
              <a16:creationId xmlns:a16="http://schemas.microsoft.com/office/drawing/2014/main" id="{970643F8-93BD-4E45-9B32-785FC56A1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79" name="Picture 268" descr="spacer">
          <a:extLst>
            <a:ext uri="{FF2B5EF4-FFF2-40B4-BE49-F238E27FC236}">
              <a16:creationId xmlns:a16="http://schemas.microsoft.com/office/drawing/2014/main" id="{DFEB88AE-E3E4-4F87-B878-C258DBCD8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80" name="Picture 269" descr="spacer">
          <a:extLst>
            <a:ext uri="{FF2B5EF4-FFF2-40B4-BE49-F238E27FC236}">
              <a16:creationId xmlns:a16="http://schemas.microsoft.com/office/drawing/2014/main" id="{C416B3CC-4785-4535-AC0A-7C963C8B6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81" name="Picture 270" descr="spacer">
          <a:extLst>
            <a:ext uri="{FF2B5EF4-FFF2-40B4-BE49-F238E27FC236}">
              <a16:creationId xmlns:a16="http://schemas.microsoft.com/office/drawing/2014/main" id="{2081D43C-E8E9-41C0-B104-58D36E351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82" name="Picture 271" descr="spacer">
          <a:extLst>
            <a:ext uri="{FF2B5EF4-FFF2-40B4-BE49-F238E27FC236}">
              <a16:creationId xmlns:a16="http://schemas.microsoft.com/office/drawing/2014/main" id="{0CC9302A-C15B-4ED0-AE37-ADF48BA73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83" name="Picture 272" descr="spacer">
          <a:extLst>
            <a:ext uri="{FF2B5EF4-FFF2-40B4-BE49-F238E27FC236}">
              <a16:creationId xmlns:a16="http://schemas.microsoft.com/office/drawing/2014/main" id="{9F72AFFF-2A16-43B4-8FF4-D8754CAFE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84" name="Picture 273" descr="spacer">
          <a:extLst>
            <a:ext uri="{FF2B5EF4-FFF2-40B4-BE49-F238E27FC236}">
              <a16:creationId xmlns:a16="http://schemas.microsoft.com/office/drawing/2014/main" id="{B92E2330-188C-4F15-B784-5F35893F6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85" name="Picture 274" descr="spacer">
          <a:extLst>
            <a:ext uri="{FF2B5EF4-FFF2-40B4-BE49-F238E27FC236}">
              <a16:creationId xmlns:a16="http://schemas.microsoft.com/office/drawing/2014/main" id="{63A45A63-1DA1-439D-8F27-7A32F1F61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86" name="Picture 275" descr="spacer">
          <a:extLst>
            <a:ext uri="{FF2B5EF4-FFF2-40B4-BE49-F238E27FC236}">
              <a16:creationId xmlns:a16="http://schemas.microsoft.com/office/drawing/2014/main" id="{6D578DA2-62DE-41F8-906E-41D3C43B5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87" name="Picture 276" descr="spacer">
          <a:extLst>
            <a:ext uri="{FF2B5EF4-FFF2-40B4-BE49-F238E27FC236}">
              <a16:creationId xmlns:a16="http://schemas.microsoft.com/office/drawing/2014/main" id="{09D3F648-7BC9-4EF9-A42F-CBBE3154B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88" name="Picture 277" descr="spacer">
          <a:extLst>
            <a:ext uri="{FF2B5EF4-FFF2-40B4-BE49-F238E27FC236}">
              <a16:creationId xmlns:a16="http://schemas.microsoft.com/office/drawing/2014/main" id="{FC48B6A8-109B-4C5B-833F-F98EDBCB1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589" name="Picture 280" descr="spacer">
          <a:extLst>
            <a:ext uri="{FF2B5EF4-FFF2-40B4-BE49-F238E27FC236}">
              <a16:creationId xmlns:a16="http://schemas.microsoft.com/office/drawing/2014/main" id="{7225B596-28CB-4898-BAD7-AE75DE2B9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90" name="Picture 282" descr="spacer">
          <a:extLst>
            <a:ext uri="{FF2B5EF4-FFF2-40B4-BE49-F238E27FC236}">
              <a16:creationId xmlns:a16="http://schemas.microsoft.com/office/drawing/2014/main" id="{65C52F85-1E57-41E4-BA66-8EE53DD2C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91" name="Picture 283" descr="spacer">
          <a:extLst>
            <a:ext uri="{FF2B5EF4-FFF2-40B4-BE49-F238E27FC236}">
              <a16:creationId xmlns:a16="http://schemas.microsoft.com/office/drawing/2014/main" id="{114CC31D-3C98-461E-8272-D20B3599F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92" name="Picture 284" descr="spacer">
          <a:extLst>
            <a:ext uri="{FF2B5EF4-FFF2-40B4-BE49-F238E27FC236}">
              <a16:creationId xmlns:a16="http://schemas.microsoft.com/office/drawing/2014/main" id="{7A3A83AA-C620-4102-B75C-DF20DFDB4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93" name="Picture 285" descr="spacer">
          <a:extLst>
            <a:ext uri="{FF2B5EF4-FFF2-40B4-BE49-F238E27FC236}">
              <a16:creationId xmlns:a16="http://schemas.microsoft.com/office/drawing/2014/main" id="{8058E84C-D53D-433B-8C3F-5C119C115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94" name="Picture 286" descr="spacer">
          <a:extLst>
            <a:ext uri="{FF2B5EF4-FFF2-40B4-BE49-F238E27FC236}">
              <a16:creationId xmlns:a16="http://schemas.microsoft.com/office/drawing/2014/main" id="{031D0BF1-D0AE-4835-AC73-F236A6456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95" name="Picture 287" descr="spacer">
          <a:extLst>
            <a:ext uri="{FF2B5EF4-FFF2-40B4-BE49-F238E27FC236}">
              <a16:creationId xmlns:a16="http://schemas.microsoft.com/office/drawing/2014/main" id="{2172AA72-FEAC-42C0-9674-A72D75D34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96" name="Picture 288" descr="spacer">
          <a:extLst>
            <a:ext uri="{FF2B5EF4-FFF2-40B4-BE49-F238E27FC236}">
              <a16:creationId xmlns:a16="http://schemas.microsoft.com/office/drawing/2014/main" id="{3D4C154A-4B46-4DB2-96A3-560704D3E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97" name="Picture 289" descr="spacer">
          <a:extLst>
            <a:ext uri="{FF2B5EF4-FFF2-40B4-BE49-F238E27FC236}">
              <a16:creationId xmlns:a16="http://schemas.microsoft.com/office/drawing/2014/main" id="{EC492D1A-2F49-45E1-917F-A901FB1FB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598" name="Picture 290" descr="spacer">
          <a:extLst>
            <a:ext uri="{FF2B5EF4-FFF2-40B4-BE49-F238E27FC236}">
              <a16:creationId xmlns:a16="http://schemas.microsoft.com/office/drawing/2014/main" id="{61C62CB0-6BA4-431B-8677-F3BFA4D59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599" name="Picture 311" descr="spacer">
          <a:extLst>
            <a:ext uri="{FF2B5EF4-FFF2-40B4-BE49-F238E27FC236}">
              <a16:creationId xmlns:a16="http://schemas.microsoft.com/office/drawing/2014/main" id="{47D896AB-4B3A-4719-B4FC-64CAE17D1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00" name="Picture 313" descr="spacer">
          <a:extLst>
            <a:ext uri="{FF2B5EF4-FFF2-40B4-BE49-F238E27FC236}">
              <a16:creationId xmlns:a16="http://schemas.microsoft.com/office/drawing/2014/main" id="{D88CA63D-A378-416F-8517-1C86328D3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01" name="Picture 314" descr="spacer">
          <a:extLst>
            <a:ext uri="{FF2B5EF4-FFF2-40B4-BE49-F238E27FC236}">
              <a16:creationId xmlns:a16="http://schemas.microsoft.com/office/drawing/2014/main" id="{CEAB59F6-6597-454E-B7E2-638A0625B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02" name="Picture 315" descr="spacer">
          <a:extLst>
            <a:ext uri="{FF2B5EF4-FFF2-40B4-BE49-F238E27FC236}">
              <a16:creationId xmlns:a16="http://schemas.microsoft.com/office/drawing/2014/main" id="{AB809B59-74CE-49E9-9CE0-5A0C3AC3C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03" name="Picture 316" descr="spacer">
          <a:extLst>
            <a:ext uri="{FF2B5EF4-FFF2-40B4-BE49-F238E27FC236}">
              <a16:creationId xmlns:a16="http://schemas.microsoft.com/office/drawing/2014/main" id="{1F11BF7C-744A-4D50-A16F-5C67EBA6D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04" name="Picture 317" descr="spacer">
          <a:extLst>
            <a:ext uri="{FF2B5EF4-FFF2-40B4-BE49-F238E27FC236}">
              <a16:creationId xmlns:a16="http://schemas.microsoft.com/office/drawing/2014/main" id="{5262A43E-EBAE-48F9-A3FA-5B0FEA59D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05" name="Picture 318" descr="spacer">
          <a:extLst>
            <a:ext uri="{FF2B5EF4-FFF2-40B4-BE49-F238E27FC236}">
              <a16:creationId xmlns:a16="http://schemas.microsoft.com/office/drawing/2014/main" id="{6C1F5DA6-D6BB-4F6A-89D3-5C2C0F26F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06" name="Picture 319" descr="spacer">
          <a:extLst>
            <a:ext uri="{FF2B5EF4-FFF2-40B4-BE49-F238E27FC236}">
              <a16:creationId xmlns:a16="http://schemas.microsoft.com/office/drawing/2014/main" id="{97DF4EC2-4CD5-429F-9E48-9CFEAB0061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07" name="Picture 320" descr="spacer">
          <a:extLst>
            <a:ext uri="{FF2B5EF4-FFF2-40B4-BE49-F238E27FC236}">
              <a16:creationId xmlns:a16="http://schemas.microsoft.com/office/drawing/2014/main" id="{189EEFA2-6AB9-4D0E-BBE1-880AAA34A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08" name="Picture 321" descr="spacer">
          <a:extLst>
            <a:ext uri="{FF2B5EF4-FFF2-40B4-BE49-F238E27FC236}">
              <a16:creationId xmlns:a16="http://schemas.microsoft.com/office/drawing/2014/main" id="{742C5B3D-D529-4C2C-8ADE-EBFF9DAB6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609" name="Picture 324" descr="spacer">
          <a:extLst>
            <a:ext uri="{FF2B5EF4-FFF2-40B4-BE49-F238E27FC236}">
              <a16:creationId xmlns:a16="http://schemas.microsoft.com/office/drawing/2014/main" id="{726C95B2-4034-43A4-AC5F-E853C223E8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10" name="Picture 326" descr="spacer">
          <a:extLst>
            <a:ext uri="{FF2B5EF4-FFF2-40B4-BE49-F238E27FC236}">
              <a16:creationId xmlns:a16="http://schemas.microsoft.com/office/drawing/2014/main" id="{F2A5D82C-F51E-4A9C-83EB-9398BFEA4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11" name="Picture 327" descr="spacer">
          <a:extLst>
            <a:ext uri="{FF2B5EF4-FFF2-40B4-BE49-F238E27FC236}">
              <a16:creationId xmlns:a16="http://schemas.microsoft.com/office/drawing/2014/main" id="{A466F787-6B2C-480A-B82E-15449DD7E8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12" name="Picture 328" descr="spacer">
          <a:extLst>
            <a:ext uri="{FF2B5EF4-FFF2-40B4-BE49-F238E27FC236}">
              <a16:creationId xmlns:a16="http://schemas.microsoft.com/office/drawing/2014/main" id="{2377437E-67F5-4D12-9DE1-F71D729BD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13" name="Picture 329" descr="spacer">
          <a:extLst>
            <a:ext uri="{FF2B5EF4-FFF2-40B4-BE49-F238E27FC236}">
              <a16:creationId xmlns:a16="http://schemas.microsoft.com/office/drawing/2014/main" id="{312A565F-5273-4483-847A-D9B1DD7A9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14" name="Picture 330" descr="spacer">
          <a:extLst>
            <a:ext uri="{FF2B5EF4-FFF2-40B4-BE49-F238E27FC236}">
              <a16:creationId xmlns:a16="http://schemas.microsoft.com/office/drawing/2014/main" id="{BBF17F53-4B7F-4DE7-A73B-56452D0D9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15" name="Picture 331" descr="spacer">
          <a:extLst>
            <a:ext uri="{FF2B5EF4-FFF2-40B4-BE49-F238E27FC236}">
              <a16:creationId xmlns:a16="http://schemas.microsoft.com/office/drawing/2014/main" id="{59657872-2350-4C9A-9458-D667486BA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16" name="Picture 332" descr="spacer">
          <a:extLst>
            <a:ext uri="{FF2B5EF4-FFF2-40B4-BE49-F238E27FC236}">
              <a16:creationId xmlns:a16="http://schemas.microsoft.com/office/drawing/2014/main" id="{DB6C5CB6-EE9D-4018-9766-E5E91AD8D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17" name="Picture 333" descr="spacer">
          <a:extLst>
            <a:ext uri="{FF2B5EF4-FFF2-40B4-BE49-F238E27FC236}">
              <a16:creationId xmlns:a16="http://schemas.microsoft.com/office/drawing/2014/main" id="{34B304F7-1DBE-48E2-A4F4-34D72BDC7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18" name="Picture 334" descr="spacer">
          <a:extLst>
            <a:ext uri="{FF2B5EF4-FFF2-40B4-BE49-F238E27FC236}">
              <a16:creationId xmlns:a16="http://schemas.microsoft.com/office/drawing/2014/main" id="{B96FA45F-D94D-44E5-9793-E06538993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19" name="Picture 335" descr="spacer">
          <a:extLst>
            <a:ext uri="{FF2B5EF4-FFF2-40B4-BE49-F238E27FC236}">
              <a16:creationId xmlns:a16="http://schemas.microsoft.com/office/drawing/2014/main" id="{DA71771B-4B9C-415E-8E68-5EBC01933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20" name="Picture 336" descr="spacer">
          <a:extLst>
            <a:ext uri="{FF2B5EF4-FFF2-40B4-BE49-F238E27FC236}">
              <a16:creationId xmlns:a16="http://schemas.microsoft.com/office/drawing/2014/main" id="{26C4C9DC-3EF6-466B-AD57-FEF317FA8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21" name="Picture 337" descr="spacer">
          <a:extLst>
            <a:ext uri="{FF2B5EF4-FFF2-40B4-BE49-F238E27FC236}">
              <a16:creationId xmlns:a16="http://schemas.microsoft.com/office/drawing/2014/main" id="{A79C558B-C390-4E4B-8D70-625E26E7A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22" name="Picture 338" descr="spacer">
          <a:extLst>
            <a:ext uri="{FF2B5EF4-FFF2-40B4-BE49-F238E27FC236}">
              <a16:creationId xmlns:a16="http://schemas.microsoft.com/office/drawing/2014/main" id="{9F9155B5-CADC-431F-80C4-CBCD1DAC1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23" name="Picture 339" descr="spacer">
          <a:extLst>
            <a:ext uri="{FF2B5EF4-FFF2-40B4-BE49-F238E27FC236}">
              <a16:creationId xmlns:a16="http://schemas.microsoft.com/office/drawing/2014/main" id="{A0E55AAF-FF69-4AF9-87C7-AA2BE869B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624" name="Picture 342" descr="spacer">
          <a:extLst>
            <a:ext uri="{FF2B5EF4-FFF2-40B4-BE49-F238E27FC236}">
              <a16:creationId xmlns:a16="http://schemas.microsoft.com/office/drawing/2014/main" id="{CDE9D5F0-6DA9-47CC-A1A4-737007663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25" name="Picture 344" descr="spacer">
          <a:extLst>
            <a:ext uri="{FF2B5EF4-FFF2-40B4-BE49-F238E27FC236}">
              <a16:creationId xmlns:a16="http://schemas.microsoft.com/office/drawing/2014/main" id="{3C0FDE29-D0A8-4F73-8D46-C3D5886D2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26" name="Picture 345" descr="spacer">
          <a:extLst>
            <a:ext uri="{FF2B5EF4-FFF2-40B4-BE49-F238E27FC236}">
              <a16:creationId xmlns:a16="http://schemas.microsoft.com/office/drawing/2014/main" id="{64EB9DB7-B40E-45BF-931D-27159FD6F6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27" name="Picture 346" descr="spacer">
          <a:extLst>
            <a:ext uri="{FF2B5EF4-FFF2-40B4-BE49-F238E27FC236}">
              <a16:creationId xmlns:a16="http://schemas.microsoft.com/office/drawing/2014/main" id="{777C1B8F-C8FC-4335-AA59-CF71A0F4F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28" name="Picture 347" descr="spacer">
          <a:extLst>
            <a:ext uri="{FF2B5EF4-FFF2-40B4-BE49-F238E27FC236}">
              <a16:creationId xmlns:a16="http://schemas.microsoft.com/office/drawing/2014/main" id="{F300E70F-5282-46C8-B2FA-804B1F300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29" name="Picture 348" descr="spacer">
          <a:extLst>
            <a:ext uri="{FF2B5EF4-FFF2-40B4-BE49-F238E27FC236}">
              <a16:creationId xmlns:a16="http://schemas.microsoft.com/office/drawing/2014/main" id="{C21754BD-E680-4000-9873-0D29AE8AE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30" name="Picture 349" descr="spacer">
          <a:extLst>
            <a:ext uri="{FF2B5EF4-FFF2-40B4-BE49-F238E27FC236}">
              <a16:creationId xmlns:a16="http://schemas.microsoft.com/office/drawing/2014/main" id="{FFC0BDAD-D691-459B-A9F8-EF6C765D1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31" name="Picture 350" descr="spacer">
          <a:extLst>
            <a:ext uri="{FF2B5EF4-FFF2-40B4-BE49-F238E27FC236}">
              <a16:creationId xmlns:a16="http://schemas.microsoft.com/office/drawing/2014/main" id="{16CF675A-C74F-4EC3-A349-13785B4B9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32" name="Picture 351" descr="spacer">
          <a:extLst>
            <a:ext uri="{FF2B5EF4-FFF2-40B4-BE49-F238E27FC236}">
              <a16:creationId xmlns:a16="http://schemas.microsoft.com/office/drawing/2014/main" id="{48EF979E-D27D-4677-AAF7-29CBF1F2B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33" name="Picture 352" descr="spacer">
          <a:extLst>
            <a:ext uri="{FF2B5EF4-FFF2-40B4-BE49-F238E27FC236}">
              <a16:creationId xmlns:a16="http://schemas.microsoft.com/office/drawing/2014/main" id="{DAEE9EC9-DBDD-42AE-AE60-438C3C361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34" name="Picture 353" descr="spacer">
          <a:extLst>
            <a:ext uri="{FF2B5EF4-FFF2-40B4-BE49-F238E27FC236}">
              <a16:creationId xmlns:a16="http://schemas.microsoft.com/office/drawing/2014/main" id="{F59C2986-40CD-4211-92FF-476B00CB7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35" name="Picture 354" descr="spacer">
          <a:extLst>
            <a:ext uri="{FF2B5EF4-FFF2-40B4-BE49-F238E27FC236}">
              <a16:creationId xmlns:a16="http://schemas.microsoft.com/office/drawing/2014/main" id="{24247AF3-9769-48F8-839A-C1DEFA0D0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636" name="Picture 357" descr="spacer">
          <a:extLst>
            <a:ext uri="{FF2B5EF4-FFF2-40B4-BE49-F238E27FC236}">
              <a16:creationId xmlns:a16="http://schemas.microsoft.com/office/drawing/2014/main" id="{F673542B-D988-4E50-81C7-18EB21985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37" name="Picture 359" descr="spacer">
          <a:extLst>
            <a:ext uri="{FF2B5EF4-FFF2-40B4-BE49-F238E27FC236}">
              <a16:creationId xmlns:a16="http://schemas.microsoft.com/office/drawing/2014/main" id="{0229448C-7F97-41DC-8EE2-F76CCCB2B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38" name="Picture 360" descr="spacer">
          <a:extLst>
            <a:ext uri="{FF2B5EF4-FFF2-40B4-BE49-F238E27FC236}">
              <a16:creationId xmlns:a16="http://schemas.microsoft.com/office/drawing/2014/main" id="{BDC9067F-79FE-48DC-A58D-2E41CA300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39" name="Picture 361" descr="spacer">
          <a:extLst>
            <a:ext uri="{FF2B5EF4-FFF2-40B4-BE49-F238E27FC236}">
              <a16:creationId xmlns:a16="http://schemas.microsoft.com/office/drawing/2014/main" id="{CC106A61-323E-4B1F-923B-53D0C1C5FC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40" name="Picture 362" descr="spacer">
          <a:extLst>
            <a:ext uri="{FF2B5EF4-FFF2-40B4-BE49-F238E27FC236}">
              <a16:creationId xmlns:a16="http://schemas.microsoft.com/office/drawing/2014/main" id="{1AE2D81B-0B5C-45C1-83C1-2E9B0E4E7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41" name="Picture 363" descr="spacer">
          <a:extLst>
            <a:ext uri="{FF2B5EF4-FFF2-40B4-BE49-F238E27FC236}">
              <a16:creationId xmlns:a16="http://schemas.microsoft.com/office/drawing/2014/main" id="{82C5A31A-6D47-4249-A323-7CDCBD240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42" name="Picture 364" descr="spacer">
          <a:extLst>
            <a:ext uri="{FF2B5EF4-FFF2-40B4-BE49-F238E27FC236}">
              <a16:creationId xmlns:a16="http://schemas.microsoft.com/office/drawing/2014/main" id="{CC4BD43B-1096-4093-A846-70D40B9AA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43" name="Picture 365" descr="spacer">
          <a:extLst>
            <a:ext uri="{FF2B5EF4-FFF2-40B4-BE49-F238E27FC236}">
              <a16:creationId xmlns:a16="http://schemas.microsoft.com/office/drawing/2014/main" id="{4E3769BA-0706-4758-955E-4E6B46147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44" name="Picture 366" descr="spacer">
          <a:extLst>
            <a:ext uri="{FF2B5EF4-FFF2-40B4-BE49-F238E27FC236}">
              <a16:creationId xmlns:a16="http://schemas.microsoft.com/office/drawing/2014/main" id="{877FBA52-B6E7-461E-9136-FB21F49FF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45" name="Picture 367" descr="spacer">
          <a:extLst>
            <a:ext uri="{FF2B5EF4-FFF2-40B4-BE49-F238E27FC236}">
              <a16:creationId xmlns:a16="http://schemas.microsoft.com/office/drawing/2014/main" id="{A4B4EEDC-062C-4FBD-8C77-F665A5A5AF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46" name="Picture 368" descr="spacer">
          <a:extLst>
            <a:ext uri="{FF2B5EF4-FFF2-40B4-BE49-F238E27FC236}">
              <a16:creationId xmlns:a16="http://schemas.microsoft.com/office/drawing/2014/main" id="{F0740FD2-DD0E-4946-97D8-CB1E3B436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47" name="Picture 369" descr="spacer">
          <a:extLst>
            <a:ext uri="{FF2B5EF4-FFF2-40B4-BE49-F238E27FC236}">
              <a16:creationId xmlns:a16="http://schemas.microsoft.com/office/drawing/2014/main" id="{C0A6A1E9-9E90-4C3D-B4D5-397F10039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48" name="Picture 370" descr="spacer">
          <a:extLst>
            <a:ext uri="{FF2B5EF4-FFF2-40B4-BE49-F238E27FC236}">
              <a16:creationId xmlns:a16="http://schemas.microsoft.com/office/drawing/2014/main" id="{5F0E0F65-DEDB-4EA3-87B7-7D9613C87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49" name="Picture 371" descr="spacer">
          <a:extLst>
            <a:ext uri="{FF2B5EF4-FFF2-40B4-BE49-F238E27FC236}">
              <a16:creationId xmlns:a16="http://schemas.microsoft.com/office/drawing/2014/main" id="{91C554C7-0FC0-4E13-84C9-D1D8793A2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50" name="Picture 372" descr="spacer">
          <a:extLst>
            <a:ext uri="{FF2B5EF4-FFF2-40B4-BE49-F238E27FC236}">
              <a16:creationId xmlns:a16="http://schemas.microsoft.com/office/drawing/2014/main" id="{4D7DC175-10D1-47A9-9877-C6254DCB71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651" name="Picture 375" descr="spacer">
          <a:extLst>
            <a:ext uri="{FF2B5EF4-FFF2-40B4-BE49-F238E27FC236}">
              <a16:creationId xmlns:a16="http://schemas.microsoft.com/office/drawing/2014/main" id="{F1ECB80D-13ED-45C6-ACC8-7AB7A60EFC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52" name="Picture 377" descr="spacer">
          <a:extLst>
            <a:ext uri="{FF2B5EF4-FFF2-40B4-BE49-F238E27FC236}">
              <a16:creationId xmlns:a16="http://schemas.microsoft.com/office/drawing/2014/main" id="{802A32C1-810A-4333-9422-51DC4026D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53" name="Picture 378" descr="spacer">
          <a:extLst>
            <a:ext uri="{FF2B5EF4-FFF2-40B4-BE49-F238E27FC236}">
              <a16:creationId xmlns:a16="http://schemas.microsoft.com/office/drawing/2014/main" id="{DA4F90B4-EDD1-425F-A419-68028E4D3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54" name="Picture 379" descr="spacer">
          <a:extLst>
            <a:ext uri="{FF2B5EF4-FFF2-40B4-BE49-F238E27FC236}">
              <a16:creationId xmlns:a16="http://schemas.microsoft.com/office/drawing/2014/main" id="{CAD8BA94-D937-4202-B304-23A35A870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55" name="Picture 380" descr="spacer">
          <a:extLst>
            <a:ext uri="{FF2B5EF4-FFF2-40B4-BE49-F238E27FC236}">
              <a16:creationId xmlns:a16="http://schemas.microsoft.com/office/drawing/2014/main" id="{895FF93C-AB54-4070-80EB-0E51FE5FB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56" name="Picture 381" descr="spacer">
          <a:extLst>
            <a:ext uri="{FF2B5EF4-FFF2-40B4-BE49-F238E27FC236}">
              <a16:creationId xmlns:a16="http://schemas.microsoft.com/office/drawing/2014/main" id="{A9D58FD6-5756-4FA9-BBF3-065DA5D6C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57" name="Picture 382" descr="spacer">
          <a:extLst>
            <a:ext uri="{FF2B5EF4-FFF2-40B4-BE49-F238E27FC236}">
              <a16:creationId xmlns:a16="http://schemas.microsoft.com/office/drawing/2014/main" id="{96A30D7D-93C3-4810-A801-ED24A24BA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58" name="Picture 383" descr="spacer">
          <a:extLst>
            <a:ext uri="{FF2B5EF4-FFF2-40B4-BE49-F238E27FC236}">
              <a16:creationId xmlns:a16="http://schemas.microsoft.com/office/drawing/2014/main" id="{098B6A03-1BA2-4832-8F13-7CB1B9975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59" name="Picture 384" descr="spacer">
          <a:extLst>
            <a:ext uri="{FF2B5EF4-FFF2-40B4-BE49-F238E27FC236}">
              <a16:creationId xmlns:a16="http://schemas.microsoft.com/office/drawing/2014/main" id="{3E09B0F9-6381-4731-A39C-3589ECB2B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60" name="Picture 385" descr="spacer">
          <a:extLst>
            <a:ext uri="{FF2B5EF4-FFF2-40B4-BE49-F238E27FC236}">
              <a16:creationId xmlns:a16="http://schemas.microsoft.com/office/drawing/2014/main" id="{46B299D5-126F-4527-9301-991468007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61" name="Picture 386" descr="spacer">
          <a:extLst>
            <a:ext uri="{FF2B5EF4-FFF2-40B4-BE49-F238E27FC236}">
              <a16:creationId xmlns:a16="http://schemas.microsoft.com/office/drawing/2014/main" id="{8359B09D-B0E8-4201-A795-C85D35EB7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62" name="Picture 387" descr="spacer">
          <a:extLst>
            <a:ext uri="{FF2B5EF4-FFF2-40B4-BE49-F238E27FC236}">
              <a16:creationId xmlns:a16="http://schemas.microsoft.com/office/drawing/2014/main" id="{85B96F28-1A1B-4CC3-9C8D-E9130801C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63" name="Picture 388" descr="spacer">
          <a:extLst>
            <a:ext uri="{FF2B5EF4-FFF2-40B4-BE49-F238E27FC236}">
              <a16:creationId xmlns:a16="http://schemas.microsoft.com/office/drawing/2014/main" id="{D3B8CC13-6EF7-415E-A24C-918697D64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64" name="Picture 389" descr="spacer">
          <a:extLst>
            <a:ext uri="{FF2B5EF4-FFF2-40B4-BE49-F238E27FC236}">
              <a16:creationId xmlns:a16="http://schemas.microsoft.com/office/drawing/2014/main" id="{FDE20471-E283-4E6F-949E-61B8539AF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665" name="Picture 392" descr="spacer">
          <a:extLst>
            <a:ext uri="{FF2B5EF4-FFF2-40B4-BE49-F238E27FC236}">
              <a16:creationId xmlns:a16="http://schemas.microsoft.com/office/drawing/2014/main" id="{08663274-0110-4628-AC11-DF11AEC44C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66" name="Picture 394" descr="spacer">
          <a:extLst>
            <a:ext uri="{FF2B5EF4-FFF2-40B4-BE49-F238E27FC236}">
              <a16:creationId xmlns:a16="http://schemas.microsoft.com/office/drawing/2014/main" id="{3F8374EC-A3C9-48EA-AB74-54F3E4DFA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67" name="Picture 395" descr="spacer">
          <a:extLst>
            <a:ext uri="{FF2B5EF4-FFF2-40B4-BE49-F238E27FC236}">
              <a16:creationId xmlns:a16="http://schemas.microsoft.com/office/drawing/2014/main" id="{D1425E88-7342-4209-A200-C90499522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68" name="Picture 396" descr="spacer">
          <a:extLst>
            <a:ext uri="{FF2B5EF4-FFF2-40B4-BE49-F238E27FC236}">
              <a16:creationId xmlns:a16="http://schemas.microsoft.com/office/drawing/2014/main" id="{760833D0-70C4-45B0-9F64-F6E87905D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69" name="Picture 397" descr="spacer">
          <a:extLst>
            <a:ext uri="{FF2B5EF4-FFF2-40B4-BE49-F238E27FC236}">
              <a16:creationId xmlns:a16="http://schemas.microsoft.com/office/drawing/2014/main" id="{869E0353-0043-4265-89CB-357A02A0F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70" name="Picture 398" descr="spacer">
          <a:extLst>
            <a:ext uri="{FF2B5EF4-FFF2-40B4-BE49-F238E27FC236}">
              <a16:creationId xmlns:a16="http://schemas.microsoft.com/office/drawing/2014/main" id="{99B327F6-CEDE-49DB-BE1B-0BB3E77E5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71" name="Picture 399" descr="spacer">
          <a:extLst>
            <a:ext uri="{FF2B5EF4-FFF2-40B4-BE49-F238E27FC236}">
              <a16:creationId xmlns:a16="http://schemas.microsoft.com/office/drawing/2014/main" id="{0FC334D9-FD8C-4D36-9E54-BDF19FC54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72" name="Picture 400" descr="spacer">
          <a:extLst>
            <a:ext uri="{FF2B5EF4-FFF2-40B4-BE49-F238E27FC236}">
              <a16:creationId xmlns:a16="http://schemas.microsoft.com/office/drawing/2014/main" id="{8BC48AAA-4BA9-4B26-BE28-94CC2EBC1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73" name="Picture 401" descr="spacer">
          <a:extLst>
            <a:ext uri="{FF2B5EF4-FFF2-40B4-BE49-F238E27FC236}">
              <a16:creationId xmlns:a16="http://schemas.microsoft.com/office/drawing/2014/main" id="{2293B9FF-6B21-4D89-9148-B26553ED2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74" name="Picture 402" descr="spacer">
          <a:extLst>
            <a:ext uri="{FF2B5EF4-FFF2-40B4-BE49-F238E27FC236}">
              <a16:creationId xmlns:a16="http://schemas.microsoft.com/office/drawing/2014/main" id="{B0525BFE-7BA6-4D11-9983-EEF72DECF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75" name="Picture 403" descr="spacer">
          <a:extLst>
            <a:ext uri="{FF2B5EF4-FFF2-40B4-BE49-F238E27FC236}">
              <a16:creationId xmlns:a16="http://schemas.microsoft.com/office/drawing/2014/main" id="{58183E56-F006-49AC-A178-B29F3F9E5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76" name="Picture 404" descr="spacer">
          <a:extLst>
            <a:ext uri="{FF2B5EF4-FFF2-40B4-BE49-F238E27FC236}">
              <a16:creationId xmlns:a16="http://schemas.microsoft.com/office/drawing/2014/main" id="{4A09189C-9E67-40F1-B420-CE5D9E1F1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77" name="Picture 405" descr="spacer">
          <a:extLst>
            <a:ext uri="{FF2B5EF4-FFF2-40B4-BE49-F238E27FC236}">
              <a16:creationId xmlns:a16="http://schemas.microsoft.com/office/drawing/2014/main" id="{B93D2B9F-1059-4546-9214-004923DDD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78" name="Picture 406" descr="spacer">
          <a:extLst>
            <a:ext uri="{FF2B5EF4-FFF2-40B4-BE49-F238E27FC236}">
              <a16:creationId xmlns:a16="http://schemas.microsoft.com/office/drawing/2014/main" id="{FF481BC2-2055-45AF-B231-A799774E6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679" name="Picture 409" descr="spacer">
          <a:extLst>
            <a:ext uri="{FF2B5EF4-FFF2-40B4-BE49-F238E27FC236}">
              <a16:creationId xmlns:a16="http://schemas.microsoft.com/office/drawing/2014/main" id="{D6213FF5-167E-4E81-8928-C105C7A72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80" name="Picture 411" descr="spacer">
          <a:extLst>
            <a:ext uri="{FF2B5EF4-FFF2-40B4-BE49-F238E27FC236}">
              <a16:creationId xmlns:a16="http://schemas.microsoft.com/office/drawing/2014/main" id="{38DE182D-F9BC-4499-8B25-18DD74AF4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81" name="Picture 412" descr="spacer">
          <a:extLst>
            <a:ext uri="{FF2B5EF4-FFF2-40B4-BE49-F238E27FC236}">
              <a16:creationId xmlns:a16="http://schemas.microsoft.com/office/drawing/2014/main" id="{EB6220B4-0175-4CFE-AF30-169E7D4A7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82" name="Picture 413" descr="spacer">
          <a:extLst>
            <a:ext uri="{FF2B5EF4-FFF2-40B4-BE49-F238E27FC236}">
              <a16:creationId xmlns:a16="http://schemas.microsoft.com/office/drawing/2014/main" id="{6E82B0F8-2A81-471B-80E3-EF75E8671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83" name="Picture 414" descr="spacer">
          <a:extLst>
            <a:ext uri="{FF2B5EF4-FFF2-40B4-BE49-F238E27FC236}">
              <a16:creationId xmlns:a16="http://schemas.microsoft.com/office/drawing/2014/main" id="{035DF331-AE43-4FF7-B83A-511DA133E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84" name="Picture 415" descr="spacer">
          <a:extLst>
            <a:ext uri="{FF2B5EF4-FFF2-40B4-BE49-F238E27FC236}">
              <a16:creationId xmlns:a16="http://schemas.microsoft.com/office/drawing/2014/main" id="{87F3B408-484E-45A1-8AD3-766E735F9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85" name="Picture 416" descr="spacer">
          <a:extLst>
            <a:ext uri="{FF2B5EF4-FFF2-40B4-BE49-F238E27FC236}">
              <a16:creationId xmlns:a16="http://schemas.microsoft.com/office/drawing/2014/main" id="{EC98E024-35AF-4939-99C0-A8F548D0E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86" name="Picture 417" descr="spacer">
          <a:extLst>
            <a:ext uri="{FF2B5EF4-FFF2-40B4-BE49-F238E27FC236}">
              <a16:creationId xmlns:a16="http://schemas.microsoft.com/office/drawing/2014/main" id="{71285DB2-9508-4487-8C25-8587BAF134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87" name="Picture 418" descr="spacer">
          <a:extLst>
            <a:ext uri="{FF2B5EF4-FFF2-40B4-BE49-F238E27FC236}">
              <a16:creationId xmlns:a16="http://schemas.microsoft.com/office/drawing/2014/main" id="{82BD3A10-7901-48A9-98DB-B5A5DD5E9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88" name="Picture 419" descr="spacer">
          <a:extLst>
            <a:ext uri="{FF2B5EF4-FFF2-40B4-BE49-F238E27FC236}">
              <a16:creationId xmlns:a16="http://schemas.microsoft.com/office/drawing/2014/main" id="{36339EEF-EAFA-45F2-98FA-58CD727EF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89" name="Picture 420" descr="spacer">
          <a:extLst>
            <a:ext uri="{FF2B5EF4-FFF2-40B4-BE49-F238E27FC236}">
              <a16:creationId xmlns:a16="http://schemas.microsoft.com/office/drawing/2014/main" id="{3E8347CC-71F8-477A-9332-5FC2C7AF5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90" name="Picture 421" descr="spacer">
          <a:extLst>
            <a:ext uri="{FF2B5EF4-FFF2-40B4-BE49-F238E27FC236}">
              <a16:creationId xmlns:a16="http://schemas.microsoft.com/office/drawing/2014/main" id="{A1D759EF-374A-4670-A682-918F79B9A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91" name="Picture 422" descr="spacer">
          <a:extLst>
            <a:ext uri="{FF2B5EF4-FFF2-40B4-BE49-F238E27FC236}">
              <a16:creationId xmlns:a16="http://schemas.microsoft.com/office/drawing/2014/main" id="{C3D76577-4E2F-4138-AACA-7720EDD598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92" name="Picture 423" descr="spacer">
          <a:extLst>
            <a:ext uri="{FF2B5EF4-FFF2-40B4-BE49-F238E27FC236}">
              <a16:creationId xmlns:a16="http://schemas.microsoft.com/office/drawing/2014/main" id="{C44EE4AA-2C37-4F9C-80F3-6604B12CF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93" name="Picture 424" descr="spacer">
          <a:extLst>
            <a:ext uri="{FF2B5EF4-FFF2-40B4-BE49-F238E27FC236}">
              <a16:creationId xmlns:a16="http://schemas.microsoft.com/office/drawing/2014/main" id="{190E13E9-C6B9-4272-B723-EF9DC4B03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694" name="Picture 427" descr="spacer">
          <a:extLst>
            <a:ext uri="{FF2B5EF4-FFF2-40B4-BE49-F238E27FC236}">
              <a16:creationId xmlns:a16="http://schemas.microsoft.com/office/drawing/2014/main" id="{04659EDD-6374-4952-BF7F-C5662FA7E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95" name="Picture 429" descr="spacer">
          <a:extLst>
            <a:ext uri="{FF2B5EF4-FFF2-40B4-BE49-F238E27FC236}">
              <a16:creationId xmlns:a16="http://schemas.microsoft.com/office/drawing/2014/main" id="{A65A74CE-B4BE-43F5-A41A-0ED79C85B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96" name="Picture 430" descr="spacer">
          <a:extLst>
            <a:ext uri="{FF2B5EF4-FFF2-40B4-BE49-F238E27FC236}">
              <a16:creationId xmlns:a16="http://schemas.microsoft.com/office/drawing/2014/main" id="{019E45C4-DAED-4723-B2EB-05F6B8AA5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97" name="Picture 431" descr="spacer">
          <a:extLst>
            <a:ext uri="{FF2B5EF4-FFF2-40B4-BE49-F238E27FC236}">
              <a16:creationId xmlns:a16="http://schemas.microsoft.com/office/drawing/2014/main" id="{3CDCA4D9-2896-4681-87D6-BD9109CEE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98" name="Picture 432" descr="spacer">
          <a:extLst>
            <a:ext uri="{FF2B5EF4-FFF2-40B4-BE49-F238E27FC236}">
              <a16:creationId xmlns:a16="http://schemas.microsoft.com/office/drawing/2014/main" id="{C6EE8739-045A-4750-A65E-DF479179E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699" name="Picture 433" descr="spacer">
          <a:extLst>
            <a:ext uri="{FF2B5EF4-FFF2-40B4-BE49-F238E27FC236}">
              <a16:creationId xmlns:a16="http://schemas.microsoft.com/office/drawing/2014/main" id="{7A7EF709-B61E-4AAA-AE11-67E65F97C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00" name="Picture 434" descr="spacer">
          <a:extLst>
            <a:ext uri="{FF2B5EF4-FFF2-40B4-BE49-F238E27FC236}">
              <a16:creationId xmlns:a16="http://schemas.microsoft.com/office/drawing/2014/main" id="{5C85EF7E-139B-45A0-BA15-C882A2426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01" name="Picture 435" descr="spacer">
          <a:extLst>
            <a:ext uri="{FF2B5EF4-FFF2-40B4-BE49-F238E27FC236}">
              <a16:creationId xmlns:a16="http://schemas.microsoft.com/office/drawing/2014/main" id="{25951E2B-F55B-4987-8403-E7A92CB5D4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02" name="Picture 436" descr="spacer">
          <a:extLst>
            <a:ext uri="{FF2B5EF4-FFF2-40B4-BE49-F238E27FC236}">
              <a16:creationId xmlns:a16="http://schemas.microsoft.com/office/drawing/2014/main" id="{B69DB4CD-041F-47EC-9E86-70A049381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03" name="Picture 437" descr="spacer">
          <a:extLst>
            <a:ext uri="{FF2B5EF4-FFF2-40B4-BE49-F238E27FC236}">
              <a16:creationId xmlns:a16="http://schemas.microsoft.com/office/drawing/2014/main" id="{31F4029F-029D-4F86-986F-A27C6C57D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04" name="Picture 438" descr="spacer">
          <a:extLst>
            <a:ext uri="{FF2B5EF4-FFF2-40B4-BE49-F238E27FC236}">
              <a16:creationId xmlns:a16="http://schemas.microsoft.com/office/drawing/2014/main" id="{6F23EC59-40BC-42AF-B6B7-60A3CFFAF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05" name="Picture 439" descr="spacer">
          <a:extLst>
            <a:ext uri="{FF2B5EF4-FFF2-40B4-BE49-F238E27FC236}">
              <a16:creationId xmlns:a16="http://schemas.microsoft.com/office/drawing/2014/main" id="{2B8AD22D-7549-4ADF-BFC3-DA09BC9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06" name="Picture 440" descr="spacer">
          <a:extLst>
            <a:ext uri="{FF2B5EF4-FFF2-40B4-BE49-F238E27FC236}">
              <a16:creationId xmlns:a16="http://schemas.microsoft.com/office/drawing/2014/main" id="{83C0A6DE-1961-4579-97D7-0BAB4540AF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07" name="Picture 441" descr="spacer">
          <a:extLst>
            <a:ext uri="{FF2B5EF4-FFF2-40B4-BE49-F238E27FC236}">
              <a16:creationId xmlns:a16="http://schemas.microsoft.com/office/drawing/2014/main" id="{323782A2-1BCB-471B-B259-2310E24A8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708" name="Picture 444" descr="spacer">
          <a:extLst>
            <a:ext uri="{FF2B5EF4-FFF2-40B4-BE49-F238E27FC236}">
              <a16:creationId xmlns:a16="http://schemas.microsoft.com/office/drawing/2014/main" id="{668DFCDC-ABF8-48B5-8C16-18CF5EA5A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09" name="Picture 446" descr="spacer">
          <a:extLst>
            <a:ext uri="{FF2B5EF4-FFF2-40B4-BE49-F238E27FC236}">
              <a16:creationId xmlns:a16="http://schemas.microsoft.com/office/drawing/2014/main" id="{BA247E6C-19FE-4AC8-9E7F-DDE0F9D82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10" name="Picture 447" descr="spacer">
          <a:extLst>
            <a:ext uri="{FF2B5EF4-FFF2-40B4-BE49-F238E27FC236}">
              <a16:creationId xmlns:a16="http://schemas.microsoft.com/office/drawing/2014/main" id="{8F81E833-CF76-4FF6-AFE6-56A8AC5DB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11" name="Picture 448" descr="spacer">
          <a:extLst>
            <a:ext uri="{FF2B5EF4-FFF2-40B4-BE49-F238E27FC236}">
              <a16:creationId xmlns:a16="http://schemas.microsoft.com/office/drawing/2014/main" id="{1239AED0-A667-400F-A82D-AFEC32B10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12" name="Picture 449" descr="spacer">
          <a:extLst>
            <a:ext uri="{FF2B5EF4-FFF2-40B4-BE49-F238E27FC236}">
              <a16:creationId xmlns:a16="http://schemas.microsoft.com/office/drawing/2014/main" id="{66500D42-F5F9-48E2-9205-721E25460B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13" name="Picture 450" descr="spacer">
          <a:extLst>
            <a:ext uri="{FF2B5EF4-FFF2-40B4-BE49-F238E27FC236}">
              <a16:creationId xmlns:a16="http://schemas.microsoft.com/office/drawing/2014/main" id="{B866231D-F759-42A5-B86D-D5E8FD097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14" name="Picture 451" descr="spacer">
          <a:extLst>
            <a:ext uri="{FF2B5EF4-FFF2-40B4-BE49-F238E27FC236}">
              <a16:creationId xmlns:a16="http://schemas.microsoft.com/office/drawing/2014/main" id="{37973177-1827-4EE3-AED1-C26BC367D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15" name="Picture 452" descr="spacer">
          <a:extLst>
            <a:ext uri="{FF2B5EF4-FFF2-40B4-BE49-F238E27FC236}">
              <a16:creationId xmlns:a16="http://schemas.microsoft.com/office/drawing/2014/main" id="{94BF081F-946B-43ED-9545-81261F394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16" name="Picture 453" descr="spacer">
          <a:extLst>
            <a:ext uri="{FF2B5EF4-FFF2-40B4-BE49-F238E27FC236}">
              <a16:creationId xmlns:a16="http://schemas.microsoft.com/office/drawing/2014/main" id="{E7099341-2103-4EDF-BEA5-ED70B0D59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17" name="Picture 454" descr="spacer">
          <a:extLst>
            <a:ext uri="{FF2B5EF4-FFF2-40B4-BE49-F238E27FC236}">
              <a16:creationId xmlns:a16="http://schemas.microsoft.com/office/drawing/2014/main" id="{5AA9490C-E538-4940-A5B0-A518DA74E4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18" name="Picture 455" descr="spacer">
          <a:extLst>
            <a:ext uri="{FF2B5EF4-FFF2-40B4-BE49-F238E27FC236}">
              <a16:creationId xmlns:a16="http://schemas.microsoft.com/office/drawing/2014/main" id="{16077FC2-146A-4A71-A666-471A19899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19" name="Picture 456" descr="spacer">
          <a:extLst>
            <a:ext uri="{FF2B5EF4-FFF2-40B4-BE49-F238E27FC236}">
              <a16:creationId xmlns:a16="http://schemas.microsoft.com/office/drawing/2014/main" id="{2F6AFE90-38EB-4C03-8F72-6E5B1D2D3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20" name="Picture 457" descr="spacer">
          <a:extLst>
            <a:ext uri="{FF2B5EF4-FFF2-40B4-BE49-F238E27FC236}">
              <a16:creationId xmlns:a16="http://schemas.microsoft.com/office/drawing/2014/main" id="{FCD4D0DB-3458-4E8B-9E54-2E6A6547B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21" name="Picture 458" descr="spacer">
          <a:extLst>
            <a:ext uri="{FF2B5EF4-FFF2-40B4-BE49-F238E27FC236}">
              <a16:creationId xmlns:a16="http://schemas.microsoft.com/office/drawing/2014/main" id="{AD75E1DA-34E2-453E-9136-C20F783C5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722" name="Picture 461" descr="spacer">
          <a:extLst>
            <a:ext uri="{FF2B5EF4-FFF2-40B4-BE49-F238E27FC236}">
              <a16:creationId xmlns:a16="http://schemas.microsoft.com/office/drawing/2014/main" id="{3A8067EC-C0B0-4397-8979-241585C72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23" name="Picture 463" descr="spacer">
          <a:extLst>
            <a:ext uri="{FF2B5EF4-FFF2-40B4-BE49-F238E27FC236}">
              <a16:creationId xmlns:a16="http://schemas.microsoft.com/office/drawing/2014/main" id="{A6190098-AF5A-49DF-87A3-7933A8D01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24" name="Picture 464" descr="spacer">
          <a:extLst>
            <a:ext uri="{FF2B5EF4-FFF2-40B4-BE49-F238E27FC236}">
              <a16:creationId xmlns:a16="http://schemas.microsoft.com/office/drawing/2014/main" id="{F6A7A356-1C5C-4635-90D6-2D522F4B5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25" name="Picture 465" descr="spacer">
          <a:extLst>
            <a:ext uri="{FF2B5EF4-FFF2-40B4-BE49-F238E27FC236}">
              <a16:creationId xmlns:a16="http://schemas.microsoft.com/office/drawing/2014/main" id="{151D6F96-6FCB-428F-A0B2-92509AE96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26" name="Picture 466" descr="spacer">
          <a:extLst>
            <a:ext uri="{FF2B5EF4-FFF2-40B4-BE49-F238E27FC236}">
              <a16:creationId xmlns:a16="http://schemas.microsoft.com/office/drawing/2014/main" id="{D470297C-D6B4-4D77-AF60-C12C5D2E1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27" name="Picture 467" descr="spacer">
          <a:extLst>
            <a:ext uri="{FF2B5EF4-FFF2-40B4-BE49-F238E27FC236}">
              <a16:creationId xmlns:a16="http://schemas.microsoft.com/office/drawing/2014/main" id="{A4792FA2-8C68-4E1E-8B27-7C20F885E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28" name="Picture 468" descr="spacer">
          <a:extLst>
            <a:ext uri="{FF2B5EF4-FFF2-40B4-BE49-F238E27FC236}">
              <a16:creationId xmlns:a16="http://schemas.microsoft.com/office/drawing/2014/main" id="{7C6B2C34-EBAB-4D13-AF24-2FABFFFB5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29" name="Picture 469" descr="spacer">
          <a:extLst>
            <a:ext uri="{FF2B5EF4-FFF2-40B4-BE49-F238E27FC236}">
              <a16:creationId xmlns:a16="http://schemas.microsoft.com/office/drawing/2014/main" id="{3C7222C9-DCC2-4F5E-A625-22047E967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30" name="Picture 470" descr="spacer">
          <a:extLst>
            <a:ext uri="{FF2B5EF4-FFF2-40B4-BE49-F238E27FC236}">
              <a16:creationId xmlns:a16="http://schemas.microsoft.com/office/drawing/2014/main" id="{DBB9E680-F7B2-4F4F-9262-426B7A035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31" name="Picture 471" descr="spacer">
          <a:extLst>
            <a:ext uri="{FF2B5EF4-FFF2-40B4-BE49-F238E27FC236}">
              <a16:creationId xmlns:a16="http://schemas.microsoft.com/office/drawing/2014/main" id="{F26F4A98-77AC-4FC6-8E8E-F1EFD363E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32" name="Picture 472" descr="spacer">
          <a:extLst>
            <a:ext uri="{FF2B5EF4-FFF2-40B4-BE49-F238E27FC236}">
              <a16:creationId xmlns:a16="http://schemas.microsoft.com/office/drawing/2014/main" id="{6F9E1866-ADE6-42E6-91DD-D75DFC4C1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33" name="Picture 473" descr="spacer">
          <a:extLst>
            <a:ext uri="{FF2B5EF4-FFF2-40B4-BE49-F238E27FC236}">
              <a16:creationId xmlns:a16="http://schemas.microsoft.com/office/drawing/2014/main" id="{15F1B68E-5ACD-4544-8930-2774CA596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34" name="Picture 474" descr="spacer">
          <a:extLst>
            <a:ext uri="{FF2B5EF4-FFF2-40B4-BE49-F238E27FC236}">
              <a16:creationId xmlns:a16="http://schemas.microsoft.com/office/drawing/2014/main" id="{58B71DD7-0920-40E3-B68C-B24EAAB0A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35" name="Picture 475" descr="spacer">
          <a:extLst>
            <a:ext uri="{FF2B5EF4-FFF2-40B4-BE49-F238E27FC236}">
              <a16:creationId xmlns:a16="http://schemas.microsoft.com/office/drawing/2014/main" id="{CCCF2DB1-FAB0-4857-A871-7FEA1B9A8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736" name="Picture 478" descr="spacer">
          <a:extLst>
            <a:ext uri="{FF2B5EF4-FFF2-40B4-BE49-F238E27FC236}">
              <a16:creationId xmlns:a16="http://schemas.microsoft.com/office/drawing/2014/main" id="{94E49405-CED7-43F9-BCFB-9161BA579F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37" name="Picture 480" descr="spacer">
          <a:extLst>
            <a:ext uri="{FF2B5EF4-FFF2-40B4-BE49-F238E27FC236}">
              <a16:creationId xmlns:a16="http://schemas.microsoft.com/office/drawing/2014/main" id="{10E66F38-3DA1-4596-BECA-6EDF64BAB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38" name="Picture 481" descr="spacer">
          <a:extLst>
            <a:ext uri="{FF2B5EF4-FFF2-40B4-BE49-F238E27FC236}">
              <a16:creationId xmlns:a16="http://schemas.microsoft.com/office/drawing/2014/main" id="{3702EAB9-0204-403D-BABC-B0BA2C406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39" name="Picture 482" descr="spacer">
          <a:extLst>
            <a:ext uri="{FF2B5EF4-FFF2-40B4-BE49-F238E27FC236}">
              <a16:creationId xmlns:a16="http://schemas.microsoft.com/office/drawing/2014/main" id="{A75B6256-719B-4977-8B23-C1C9F70A2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40" name="Picture 483" descr="spacer">
          <a:extLst>
            <a:ext uri="{FF2B5EF4-FFF2-40B4-BE49-F238E27FC236}">
              <a16:creationId xmlns:a16="http://schemas.microsoft.com/office/drawing/2014/main" id="{2937161C-2614-411E-A2F2-8EAD7A96C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41" name="Picture 484" descr="spacer">
          <a:extLst>
            <a:ext uri="{FF2B5EF4-FFF2-40B4-BE49-F238E27FC236}">
              <a16:creationId xmlns:a16="http://schemas.microsoft.com/office/drawing/2014/main" id="{F6E4295A-6AB1-480C-BFB5-F98729718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42" name="Picture 485" descr="spacer">
          <a:extLst>
            <a:ext uri="{FF2B5EF4-FFF2-40B4-BE49-F238E27FC236}">
              <a16:creationId xmlns:a16="http://schemas.microsoft.com/office/drawing/2014/main" id="{352DEC5C-B20C-4E64-B4A8-FAAE88F3C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43" name="Picture 486" descr="spacer">
          <a:extLst>
            <a:ext uri="{FF2B5EF4-FFF2-40B4-BE49-F238E27FC236}">
              <a16:creationId xmlns:a16="http://schemas.microsoft.com/office/drawing/2014/main" id="{E4AAEA53-1B03-4F3D-8483-8F3C49E62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44" name="Picture 487" descr="spacer">
          <a:extLst>
            <a:ext uri="{FF2B5EF4-FFF2-40B4-BE49-F238E27FC236}">
              <a16:creationId xmlns:a16="http://schemas.microsoft.com/office/drawing/2014/main" id="{029898F6-3B07-432E-B358-D0B67298F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45" name="Picture 488" descr="spacer">
          <a:extLst>
            <a:ext uri="{FF2B5EF4-FFF2-40B4-BE49-F238E27FC236}">
              <a16:creationId xmlns:a16="http://schemas.microsoft.com/office/drawing/2014/main" id="{820B8B6F-0406-4F0F-B2A6-5474A3062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46" name="Picture 489" descr="spacer">
          <a:extLst>
            <a:ext uri="{FF2B5EF4-FFF2-40B4-BE49-F238E27FC236}">
              <a16:creationId xmlns:a16="http://schemas.microsoft.com/office/drawing/2014/main" id="{B271224D-65BC-429D-8E6A-A73299FE3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47" name="Picture 490" descr="spacer">
          <a:extLst>
            <a:ext uri="{FF2B5EF4-FFF2-40B4-BE49-F238E27FC236}">
              <a16:creationId xmlns:a16="http://schemas.microsoft.com/office/drawing/2014/main" id="{871D1356-F6A7-44E6-9527-11F42EF29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48" name="Picture 491" descr="spacer">
          <a:extLst>
            <a:ext uri="{FF2B5EF4-FFF2-40B4-BE49-F238E27FC236}">
              <a16:creationId xmlns:a16="http://schemas.microsoft.com/office/drawing/2014/main" id="{4CF882ED-D182-487D-A84C-917D05CE6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49" name="Picture 492" descr="spacer">
          <a:extLst>
            <a:ext uri="{FF2B5EF4-FFF2-40B4-BE49-F238E27FC236}">
              <a16:creationId xmlns:a16="http://schemas.microsoft.com/office/drawing/2014/main" id="{03472A23-5F0B-4A5B-97B4-B38DF04E2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50" name="Picture 493" descr="spacer">
          <a:extLst>
            <a:ext uri="{FF2B5EF4-FFF2-40B4-BE49-F238E27FC236}">
              <a16:creationId xmlns:a16="http://schemas.microsoft.com/office/drawing/2014/main" id="{CAA21678-4C97-4C9F-B506-5B3FCCF35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751" name="Picture 496" descr="spacer">
          <a:extLst>
            <a:ext uri="{FF2B5EF4-FFF2-40B4-BE49-F238E27FC236}">
              <a16:creationId xmlns:a16="http://schemas.microsoft.com/office/drawing/2014/main" id="{45049157-3C8A-440A-94EE-DFD21315E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52" name="Picture 498" descr="spacer">
          <a:extLst>
            <a:ext uri="{FF2B5EF4-FFF2-40B4-BE49-F238E27FC236}">
              <a16:creationId xmlns:a16="http://schemas.microsoft.com/office/drawing/2014/main" id="{F245A735-6277-43FC-B648-5C0EE63E4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53" name="Picture 499" descr="spacer">
          <a:extLst>
            <a:ext uri="{FF2B5EF4-FFF2-40B4-BE49-F238E27FC236}">
              <a16:creationId xmlns:a16="http://schemas.microsoft.com/office/drawing/2014/main" id="{4D0F8775-FAE1-4948-A708-A32135BB2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54" name="Picture 500" descr="spacer">
          <a:extLst>
            <a:ext uri="{FF2B5EF4-FFF2-40B4-BE49-F238E27FC236}">
              <a16:creationId xmlns:a16="http://schemas.microsoft.com/office/drawing/2014/main" id="{892DACD0-9F9E-4454-BC97-03647580F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55" name="Picture 501" descr="spacer">
          <a:extLst>
            <a:ext uri="{FF2B5EF4-FFF2-40B4-BE49-F238E27FC236}">
              <a16:creationId xmlns:a16="http://schemas.microsoft.com/office/drawing/2014/main" id="{69346C5C-BF12-40C8-8523-9CAA9295F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56" name="Picture 502" descr="spacer">
          <a:extLst>
            <a:ext uri="{FF2B5EF4-FFF2-40B4-BE49-F238E27FC236}">
              <a16:creationId xmlns:a16="http://schemas.microsoft.com/office/drawing/2014/main" id="{B68C7834-0169-4BBF-A0A1-1B6FCF5EB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57" name="Picture 503" descr="spacer">
          <a:extLst>
            <a:ext uri="{FF2B5EF4-FFF2-40B4-BE49-F238E27FC236}">
              <a16:creationId xmlns:a16="http://schemas.microsoft.com/office/drawing/2014/main" id="{3C708F55-5337-4FF7-9B69-317F6A459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58" name="Picture 504" descr="spacer">
          <a:extLst>
            <a:ext uri="{FF2B5EF4-FFF2-40B4-BE49-F238E27FC236}">
              <a16:creationId xmlns:a16="http://schemas.microsoft.com/office/drawing/2014/main" id="{4249D7CF-1AB8-4FE8-AA43-844674E46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59" name="Picture 505" descr="spacer">
          <a:extLst>
            <a:ext uri="{FF2B5EF4-FFF2-40B4-BE49-F238E27FC236}">
              <a16:creationId xmlns:a16="http://schemas.microsoft.com/office/drawing/2014/main" id="{868DCA26-AAC7-471B-9D5E-E0C1B5DED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60" name="Picture 506" descr="spacer">
          <a:extLst>
            <a:ext uri="{FF2B5EF4-FFF2-40B4-BE49-F238E27FC236}">
              <a16:creationId xmlns:a16="http://schemas.microsoft.com/office/drawing/2014/main" id="{598C8047-5882-4A86-AADE-D6AB11C3F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61" name="Picture 507" descr="spacer">
          <a:extLst>
            <a:ext uri="{FF2B5EF4-FFF2-40B4-BE49-F238E27FC236}">
              <a16:creationId xmlns:a16="http://schemas.microsoft.com/office/drawing/2014/main" id="{A6138C5F-B5A2-4A77-8F2E-BD149C466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62" name="Picture 508" descr="spacer">
          <a:extLst>
            <a:ext uri="{FF2B5EF4-FFF2-40B4-BE49-F238E27FC236}">
              <a16:creationId xmlns:a16="http://schemas.microsoft.com/office/drawing/2014/main" id="{785B2569-9C10-4B66-88A4-5169FEBBF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63" name="Picture 509" descr="spacer">
          <a:extLst>
            <a:ext uri="{FF2B5EF4-FFF2-40B4-BE49-F238E27FC236}">
              <a16:creationId xmlns:a16="http://schemas.microsoft.com/office/drawing/2014/main" id="{387A7B48-EECF-4C59-A9F0-308B77513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64" name="Picture 510" descr="spacer">
          <a:extLst>
            <a:ext uri="{FF2B5EF4-FFF2-40B4-BE49-F238E27FC236}">
              <a16:creationId xmlns:a16="http://schemas.microsoft.com/office/drawing/2014/main" id="{C673887A-A83A-4A3D-A006-AC5CB6544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65" name="Picture 511" descr="spacer">
          <a:extLst>
            <a:ext uri="{FF2B5EF4-FFF2-40B4-BE49-F238E27FC236}">
              <a16:creationId xmlns:a16="http://schemas.microsoft.com/office/drawing/2014/main" id="{20E336E5-F7F4-4057-A02C-DCEF7CB0F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766" name="Picture 514" descr="spacer">
          <a:extLst>
            <a:ext uri="{FF2B5EF4-FFF2-40B4-BE49-F238E27FC236}">
              <a16:creationId xmlns:a16="http://schemas.microsoft.com/office/drawing/2014/main" id="{B9F21125-9FC3-419E-8D0C-4E50192404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67" name="Picture 516" descr="spacer">
          <a:extLst>
            <a:ext uri="{FF2B5EF4-FFF2-40B4-BE49-F238E27FC236}">
              <a16:creationId xmlns:a16="http://schemas.microsoft.com/office/drawing/2014/main" id="{C02E156A-7438-4157-8447-FB8A2B4B2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68" name="Picture 517" descr="spacer">
          <a:extLst>
            <a:ext uri="{FF2B5EF4-FFF2-40B4-BE49-F238E27FC236}">
              <a16:creationId xmlns:a16="http://schemas.microsoft.com/office/drawing/2014/main" id="{31D19AD9-D884-4698-A25E-56DBC3026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69" name="Picture 518" descr="spacer">
          <a:extLst>
            <a:ext uri="{FF2B5EF4-FFF2-40B4-BE49-F238E27FC236}">
              <a16:creationId xmlns:a16="http://schemas.microsoft.com/office/drawing/2014/main" id="{5E2F884B-4700-4F53-BAB2-7D9EB1334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70" name="Picture 519" descr="spacer">
          <a:extLst>
            <a:ext uri="{FF2B5EF4-FFF2-40B4-BE49-F238E27FC236}">
              <a16:creationId xmlns:a16="http://schemas.microsoft.com/office/drawing/2014/main" id="{746F700A-C903-43A6-B302-2E5E2513A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71" name="Picture 520" descr="spacer">
          <a:extLst>
            <a:ext uri="{FF2B5EF4-FFF2-40B4-BE49-F238E27FC236}">
              <a16:creationId xmlns:a16="http://schemas.microsoft.com/office/drawing/2014/main" id="{6AE98A1E-5463-41DA-AEA6-9D9E5BB08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72" name="Picture 521" descr="spacer">
          <a:extLst>
            <a:ext uri="{FF2B5EF4-FFF2-40B4-BE49-F238E27FC236}">
              <a16:creationId xmlns:a16="http://schemas.microsoft.com/office/drawing/2014/main" id="{514F29D1-5B50-499E-9C2B-F48C66DE6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73" name="Picture 522" descr="spacer">
          <a:extLst>
            <a:ext uri="{FF2B5EF4-FFF2-40B4-BE49-F238E27FC236}">
              <a16:creationId xmlns:a16="http://schemas.microsoft.com/office/drawing/2014/main" id="{9AABA956-BFF9-40FD-97B1-D9A19270C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74" name="Picture 523" descr="spacer">
          <a:extLst>
            <a:ext uri="{FF2B5EF4-FFF2-40B4-BE49-F238E27FC236}">
              <a16:creationId xmlns:a16="http://schemas.microsoft.com/office/drawing/2014/main" id="{CDC9BA6D-2FD7-444B-8FAF-26DA6937F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75" name="Picture 524" descr="spacer">
          <a:extLst>
            <a:ext uri="{FF2B5EF4-FFF2-40B4-BE49-F238E27FC236}">
              <a16:creationId xmlns:a16="http://schemas.microsoft.com/office/drawing/2014/main" id="{F68B4DC8-C0F3-4DD7-8EAA-9E01DE029B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76" name="Picture 525" descr="spacer">
          <a:extLst>
            <a:ext uri="{FF2B5EF4-FFF2-40B4-BE49-F238E27FC236}">
              <a16:creationId xmlns:a16="http://schemas.microsoft.com/office/drawing/2014/main" id="{E35F026C-A297-44A5-BE12-30E680BDD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77" name="Picture 526" descr="spacer">
          <a:extLst>
            <a:ext uri="{FF2B5EF4-FFF2-40B4-BE49-F238E27FC236}">
              <a16:creationId xmlns:a16="http://schemas.microsoft.com/office/drawing/2014/main" id="{4D64AF2C-BAC3-4685-829A-DB2CE2CD5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78" name="Picture 527" descr="spacer">
          <a:extLst>
            <a:ext uri="{FF2B5EF4-FFF2-40B4-BE49-F238E27FC236}">
              <a16:creationId xmlns:a16="http://schemas.microsoft.com/office/drawing/2014/main" id="{EF16DCEC-51D0-4263-8C57-8A50AC2F6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79" name="Picture 528" descr="spacer">
          <a:extLst>
            <a:ext uri="{FF2B5EF4-FFF2-40B4-BE49-F238E27FC236}">
              <a16:creationId xmlns:a16="http://schemas.microsoft.com/office/drawing/2014/main" id="{C1646E86-DC5E-42E3-808B-706A79051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780" name="Picture 531" descr="spacer">
          <a:extLst>
            <a:ext uri="{FF2B5EF4-FFF2-40B4-BE49-F238E27FC236}">
              <a16:creationId xmlns:a16="http://schemas.microsoft.com/office/drawing/2014/main" id="{D7C2A014-2B9D-42AC-887C-D38D7B735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81" name="Picture 533" descr="spacer">
          <a:extLst>
            <a:ext uri="{FF2B5EF4-FFF2-40B4-BE49-F238E27FC236}">
              <a16:creationId xmlns:a16="http://schemas.microsoft.com/office/drawing/2014/main" id="{03B98BE6-DE17-4E15-B66D-A09FAC67F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82" name="Picture 534" descr="spacer">
          <a:extLst>
            <a:ext uri="{FF2B5EF4-FFF2-40B4-BE49-F238E27FC236}">
              <a16:creationId xmlns:a16="http://schemas.microsoft.com/office/drawing/2014/main" id="{E3D75010-7F0B-472C-9271-1B1CF1A3E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83" name="Picture 535" descr="spacer">
          <a:extLst>
            <a:ext uri="{FF2B5EF4-FFF2-40B4-BE49-F238E27FC236}">
              <a16:creationId xmlns:a16="http://schemas.microsoft.com/office/drawing/2014/main" id="{CB881E45-0D3D-4501-9FB1-1615C96A5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84" name="Picture 536" descr="spacer">
          <a:extLst>
            <a:ext uri="{FF2B5EF4-FFF2-40B4-BE49-F238E27FC236}">
              <a16:creationId xmlns:a16="http://schemas.microsoft.com/office/drawing/2014/main" id="{D6EDF099-333C-4992-B45E-3D1867B13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85" name="Picture 537" descr="spacer">
          <a:extLst>
            <a:ext uri="{FF2B5EF4-FFF2-40B4-BE49-F238E27FC236}">
              <a16:creationId xmlns:a16="http://schemas.microsoft.com/office/drawing/2014/main" id="{0146BE6F-5C75-4766-90BA-19B89EBCC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86" name="Picture 538" descr="spacer">
          <a:extLst>
            <a:ext uri="{FF2B5EF4-FFF2-40B4-BE49-F238E27FC236}">
              <a16:creationId xmlns:a16="http://schemas.microsoft.com/office/drawing/2014/main" id="{528EFCE7-2F08-40B9-9E58-479990661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87" name="Picture 539" descr="spacer">
          <a:extLst>
            <a:ext uri="{FF2B5EF4-FFF2-40B4-BE49-F238E27FC236}">
              <a16:creationId xmlns:a16="http://schemas.microsoft.com/office/drawing/2014/main" id="{A2FDF4B7-D497-4F3E-91BE-CF92F658B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88" name="Picture 540" descr="spacer">
          <a:extLst>
            <a:ext uri="{FF2B5EF4-FFF2-40B4-BE49-F238E27FC236}">
              <a16:creationId xmlns:a16="http://schemas.microsoft.com/office/drawing/2014/main" id="{BE68EFED-596D-41B1-B425-952AB2A8D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89" name="Picture 541" descr="spacer">
          <a:extLst>
            <a:ext uri="{FF2B5EF4-FFF2-40B4-BE49-F238E27FC236}">
              <a16:creationId xmlns:a16="http://schemas.microsoft.com/office/drawing/2014/main" id="{DF8D8522-2B4C-4B6B-BEC1-A00A2DA3C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90" name="Picture 542" descr="spacer">
          <a:extLst>
            <a:ext uri="{FF2B5EF4-FFF2-40B4-BE49-F238E27FC236}">
              <a16:creationId xmlns:a16="http://schemas.microsoft.com/office/drawing/2014/main" id="{6ACE0498-EACF-40F5-AE11-C109A71CD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91" name="Picture 543" descr="spacer">
          <a:extLst>
            <a:ext uri="{FF2B5EF4-FFF2-40B4-BE49-F238E27FC236}">
              <a16:creationId xmlns:a16="http://schemas.microsoft.com/office/drawing/2014/main" id="{5D74E9F2-A136-4E51-B7B7-0C42D13D0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92" name="Picture 544" descr="spacer">
          <a:extLst>
            <a:ext uri="{FF2B5EF4-FFF2-40B4-BE49-F238E27FC236}">
              <a16:creationId xmlns:a16="http://schemas.microsoft.com/office/drawing/2014/main" id="{235F9E91-16D0-4EC5-8679-7AFD93AED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93" name="Picture 545" descr="spacer">
          <a:extLst>
            <a:ext uri="{FF2B5EF4-FFF2-40B4-BE49-F238E27FC236}">
              <a16:creationId xmlns:a16="http://schemas.microsoft.com/office/drawing/2014/main" id="{CB86AC2A-BD09-48CF-9D87-81057ED9F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94" name="Picture 546" descr="spacer">
          <a:extLst>
            <a:ext uri="{FF2B5EF4-FFF2-40B4-BE49-F238E27FC236}">
              <a16:creationId xmlns:a16="http://schemas.microsoft.com/office/drawing/2014/main" id="{7B0F9DFB-2033-4C32-8794-B978BFDF4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795" name="Picture 549" descr="spacer">
          <a:extLst>
            <a:ext uri="{FF2B5EF4-FFF2-40B4-BE49-F238E27FC236}">
              <a16:creationId xmlns:a16="http://schemas.microsoft.com/office/drawing/2014/main" id="{1634F7A0-3B64-41F7-A6A2-95B79AD2F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96" name="Picture 551" descr="spacer">
          <a:extLst>
            <a:ext uri="{FF2B5EF4-FFF2-40B4-BE49-F238E27FC236}">
              <a16:creationId xmlns:a16="http://schemas.microsoft.com/office/drawing/2014/main" id="{DE1BA0D5-4699-4E11-99BB-87CB2CD62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97" name="Picture 552" descr="spacer">
          <a:extLst>
            <a:ext uri="{FF2B5EF4-FFF2-40B4-BE49-F238E27FC236}">
              <a16:creationId xmlns:a16="http://schemas.microsoft.com/office/drawing/2014/main" id="{C1F65634-52B8-48B3-A3F9-C2B8F967F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98" name="Picture 553" descr="spacer">
          <a:extLst>
            <a:ext uri="{FF2B5EF4-FFF2-40B4-BE49-F238E27FC236}">
              <a16:creationId xmlns:a16="http://schemas.microsoft.com/office/drawing/2014/main" id="{16DAD8C2-204E-4EED-BE07-037E902C50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799" name="Picture 554" descr="spacer">
          <a:extLst>
            <a:ext uri="{FF2B5EF4-FFF2-40B4-BE49-F238E27FC236}">
              <a16:creationId xmlns:a16="http://schemas.microsoft.com/office/drawing/2014/main" id="{1792B883-F5DC-46CC-8167-769F230EF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00" name="Picture 555" descr="spacer">
          <a:extLst>
            <a:ext uri="{FF2B5EF4-FFF2-40B4-BE49-F238E27FC236}">
              <a16:creationId xmlns:a16="http://schemas.microsoft.com/office/drawing/2014/main" id="{30BA6604-66B2-48EC-8562-D8DB0AB36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01" name="Picture 556" descr="spacer">
          <a:extLst>
            <a:ext uri="{FF2B5EF4-FFF2-40B4-BE49-F238E27FC236}">
              <a16:creationId xmlns:a16="http://schemas.microsoft.com/office/drawing/2014/main" id="{809BC06C-FF77-461B-8C0B-C14A724DE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02" name="Picture 557" descr="spacer">
          <a:extLst>
            <a:ext uri="{FF2B5EF4-FFF2-40B4-BE49-F238E27FC236}">
              <a16:creationId xmlns:a16="http://schemas.microsoft.com/office/drawing/2014/main" id="{227CC097-058A-4CD0-AEE5-319696963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03" name="Picture 558" descr="spacer">
          <a:extLst>
            <a:ext uri="{FF2B5EF4-FFF2-40B4-BE49-F238E27FC236}">
              <a16:creationId xmlns:a16="http://schemas.microsoft.com/office/drawing/2014/main" id="{383BC61E-965A-4BF5-950B-76744DE00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04" name="Picture 559" descr="spacer">
          <a:extLst>
            <a:ext uri="{FF2B5EF4-FFF2-40B4-BE49-F238E27FC236}">
              <a16:creationId xmlns:a16="http://schemas.microsoft.com/office/drawing/2014/main" id="{A1884B30-D555-4919-9788-4E67D9CEE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05" name="Picture 560" descr="spacer">
          <a:extLst>
            <a:ext uri="{FF2B5EF4-FFF2-40B4-BE49-F238E27FC236}">
              <a16:creationId xmlns:a16="http://schemas.microsoft.com/office/drawing/2014/main" id="{90EDA643-295E-4DC0-A3FC-6F173D599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06" name="Picture 561" descr="spacer">
          <a:extLst>
            <a:ext uri="{FF2B5EF4-FFF2-40B4-BE49-F238E27FC236}">
              <a16:creationId xmlns:a16="http://schemas.microsoft.com/office/drawing/2014/main" id="{816DB3E2-EC56-48AB-B72B-BA6A8F097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07" name="Picture 562" descr="spacer">
          <a:extLst>
            <a:ext uri="{FF2B5EF4-FFF2-40B4-BE49-F238E27FC236}">
              <a16:creationId xmlns:a16="http://schemas.microsoft.com/office/drawing/2014/main" id="{11EBF82D-3A29-432C-BD4B-724EC673C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08" name="Picture 563" descr="spacer">
          <a:extLst>
            <a:ext uri="{FF2B5EF4-FFF2-40B4-BE49-F238E27FC236}">
              <a16:creationId xmlns:a16="http://schemas.microsoft.com/office/drawing/2014/main" id="{1A2E6750-95F3-449D-BEFC-ADAFA8693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09" name="Picture 564" descr="spacer">
          <a:extLst>
            <a:ext uri="{FF2B5EF4-FFF2-40B4-BE49-F238E27FC236}">
              <a16:creationId xmlns:a16="http://schemas.microsoft.com/office/drawing/2014/main" id="{114C7D01-7FFA-4918-94C8-64A658C0B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10" name="Picture 565" descr="spacer">
          <a:extLst>
            <a:ext uri="{FF2B5EF4-FFF2-40B4-BE49-F238E27FC236}">
              <a16:creationId xmlns:a16="http://schemas.microsoft.com/office/drawing/2014/main" id="{F8C8AEAB-CD30-41FC-931A-64D33BE15F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11" name="Picture 566" descr="spacer">
          <a:extLst>
            <a:ext uri="{FF2B5EF4-FFF2-40B4-BE49-F238E27FC236}">
              <a16:creationId xmlns:a16="http://schemas.microsoft.com/office/drawing/2014/main" id="{4C8FB752-580B-4302-8029-AA8783A14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812" name="Picture 569" descr="spacer">
          <a:extLst>
            <a:ext uri="{FF2B5EF4-FFF2-40B4-BE49-F238E27FC236}">
              <a16:creationId xmlns:a16="http://schemas.microsoft.com/office/drawing/2014/main" id="{71FA30C6-F329-4FC3-AE1C-BA1EB6089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13" name="Picture 571" descr="spacer">
          <a:extLst>
            <a:ext uri="{FF2B5EF4-FFF2-40B4-BE49-F238E27FC236}">
              <a16:creationId xmlns:a16="http://schemas.microsoft.com/office/drawing/2014/main" id="{AF9FF4B0-8C1D-4902-BE7F-8EC63BAFC7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14" name="Picture 572" descr="spacer">
          <a:extLst>
            <a:ext uri="{FF2B5EF4-FFF2-40B4-BE49-F238E27FC236}">
              <a16:creationId xmlns:a16="http://schemas.microsoft.com/office/drawing/2014/main" id="{39BA4275-E262-425B-9A32-4F7ADBD9D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15" name="Picture 573" descr="spacer">
          <a:extLst>
            <a:ext uri="{FF2B5EF4-FFF2-40B4-BE49-F238E27FC236}">
              <a16:creationId xmlns:a16="http://schemas.microsoft.com/office/drawing/2014/main" id="{3EF612E0-DB66-4142-8473-D8A5BA1CF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16" name="Picture 574" descr="spacer">
          <a:extLst>
            <a:ext uri="{FF2B5EF4-FFF2-40B4-BE49-F238E27FC236}">
              <a16:creationId xmlns:a16="http://schemas.microsoft.com/office/drawing/2014/main" id="{EF593455-EF0F-44D7-B8F4-075B5EDE4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17" name="Picture 575" descr="spacer">
          <a:extLst>
            <a:ext uri="{FF2B5EF4-FFF2-40B4-BE49-F238E27FC236}">
              <a16:creationId xmlns:a16="http://schemas.microsoft.com/office/drawing/2014/main" id="{5E787EBD-6A2A-4875-9C24-F0A693BE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18" name="Picture 576" descr="spacer">
          <a:extLst>
            <a:ext uri="{FF2B5EF4-FFF2-40B4-BE49-F238E27FC236}">
              <a16:creationId xmlns:a16="http://schemas.microsoft.com/office/drawing/2014/main" id="{0A029D84-AF20-4E2C-8B4C-6C9A4D1DB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19" name="Picture 577" descr="spacer">
          <a:extLst>
            <a:ext uri="{FF2B5EF4-FFF2-40B4-BE49-F238E27FC236}">
              <a16:creationId xmlns:a16="http://schemas.microsoft.com/office/drawing/2014/main" id="{4F8182C3-0E61-40A0-957E-790EA8B7E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20" name="Picture 578" descr="spacer">
          <a:extLst>
            <a:ext uri="{FF2B5EF4-FFF2-40B4-BE49-F238E27FC236}">
              <a16:creationId xmlns:a16="http://schemas.microsoft.com/office/drawing/2014/main" id="{3F3F8298-E01C-4902-BC14-4AF7B6FA7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21" name="Picture 579" descr="spacer">
          <a:extLst>
            <a:ext uri="{FF2B5EF4-FFF2-40B4-BE49-F238E27FC236}">
              <a16:creationId xmlns:a16="http://schemas.microsoft.com/office/drawing/2014/main" id="{C69AA605-0B04-4EFE-AD39-8A919EC8E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822" name="Picture 582" descr="spacer">
          <a:extLst>
            <a:ext uri="{FF2B5EF4-FFF2-40B4-BE49-F238E27FC236}">
              <a16:creationId xmlns:a16="http://schemas.microsoft.com/office/drawing/2014/main" id="{4F209FE2-1E3A-4117-8CE5-AB37D834DC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23" name="Picture 584" descr="spacer">
          <a:extLst>
            <a:ext uri="{FF2B5EF4-FFF2-40B4-BE49-F238E27FC236}">
              <a16:creationId xmlns:a16="http://schemas.microsoft.com/office/drawing/2014/main" id="{6AFF8F1F-5667-489E-95A8-F89144109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24" name="Picture 585" descr="spacer">
          <a:extLst>
            <a:ext uri="{FF2B5EF4-FFF2-40B4-BE49-F238E27FC236}">
              <a16:creationId xmlns:a16="http://schemas.microsoft.com/office/drawing/2014/main" id="{E77046C0-CFEC-4366-9406-A31AC1727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25" name="Picture 586" descr="spacer">
          <a:extLst>
            <a:ext uri="{FF2B5EF4-FFF2-40B4-BE49-F238E27FC236}">
              <a16:creationId xmlns:a16="http://schemas.microsoft.com/office/drawing/2014/main" id="{4759717C-479B-41BB-9503-DD3F1D1B4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26" name="Picture 587" descr="spacer">
          <a:extLst>
            <a:ext uri="{FF2B5EF4-FFF2-40B4-BE49-F238E27FC236}">
              <a16:creationId xmlns:a16="http://schemas.microsoft.com/office/drawing/2014/main" id="{80152EF3-7425-483D-A039-25AD89CC3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27" name="Picture 588" descr="spacer">
          <a:extLst>
            <a:ext uri="{FF2B5EF4-FFF2-40B4-BE49-F238E27FC236}">
              <a16:creationId xmlns:a16="http://schemas.microsoft.com/office/drawing/2014/main" id="{CF104574-D178-4F7E-A867-FE537E65E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28" name="Picture 589" descr="spacer">
          <a:extLst>
            <a:ext uri="{FF2B5EF4-FFF2-40B4-BE49-F238E27FC236}">
              <a16:creationId xmlns:a16="http://schemas.microsoft.com/office/drawing/2014/main" id="{0CB729CB-8198-4AAA-8F5A-E644C8E7A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29" name="Picture 590" descr="spacer">
          <a:extLst>
            <a:ext uri="{FF2B5EF4-FFF2-40B4-BE49-F238E27FC236}">
              <a16:creationId xmlns:a16="http://schemas.microsoft.com/office/drawing/2014/main" id="{2BC9FE22-911C-47F4-B5AC-329885DC5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30" name="Picture 591" descr="spacer">
          <a:extLst>
            <a:ext uri="{FF2B5EF4-FFF2-40B4-BE49-F238E27FC236}">
              <a16:creationId xmlns:a16="http://schemas.microsoft.com/office/drawing/2014/main" id="{496799B0-2ED5-4722-8825-ADC46BC05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31" name="Picture 592" descr="spacer">
          <a:extLst>
            <a:ext uri="{FF2B5EF4-FFF2-40B4-BE49-F238E27FC236}">
              <a16:creationId xmlns:a16="http://schemas.microsoft.com/office/drawing/2014/main" id="{8E1BBD4D-8029-4C10-B587-6541895BD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832" name="Picture 595" descr="spacer">
          <a:extLst>
            <a:ext uri="{FF2B5EF4-FFF2-40B4-BE49-F238E27FC236}">
              <a16:creationId xmlns:a16="http://schemas.microsoft.com/office/drawing/2014/main" id="{DC166DA6-AA63-4FCD-876B-DB17EAF65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33" name="Picture 597" descr="spacer">
          <a:extLst>
            <a:ext uri="{FF2B5EF4-FFF2-40B4-BE49-F238E27FC236}">
              <a16:creationId xmlns:a16="http://schemas.microsoft.com/office/drawing/2014/main" id="{E5428289-53B9-46A2-AF9F-DE8ADB33F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34" name="Picture 598" descr="spacer">
          <a:extLst>
            <a:ext uri="{FF2B5EF4-FFF2-40B4-BE49-F238E27FC236}">
              <a16:creationId xmlns:a16="http://schemas.microsoft.com/office/drawing/2014/main" id="{9AD1C9A1-E841-4FC2-A05A-E62B1C0EF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35" name="Picture 599" descr="spacer">
          <a:extLst>
            <a:ext uri="{FF2B5EF4-FFF2-40B4-BE49-F238E27FC236}">
              <a16:creationId xmlns:a16="http://schemas.microsoft.com/office/drawing/2014/main" id="{73F158CE-4827-4746-9F80-486FBC9C8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36" name="Picture 600" descr="spacer">
          <a:extLst>
            <a:ext uri="{FF2B5EF4-FFF2-40B4-BE49-F238E27FC236}">
              <a16:creationId xmlns:a16="http://schemas.microsoft.com/office/drawing/2014/main" id="{FE70680A-1020-41D1-84D7-61F75D155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37" name="Picture 601" descr="spacer">
          <a:extLst>
            <a:ext uri="{FF2B5EF4-FFF2-40B4-BE49-F238E27FC236}">
              <a16:creationId xmlns:a16="http://schemas.microsoft.com/office/drawing/2014/main" id="{832B84AB-D6E9-4BAB-9154-4B350D16A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38" name="Picture 602" descr="spacer">
          <a:extLst>
            <a:ext uri="{FF2B5EF4-FFF2-40B4-BE49-F238E27FC236}">
              <a16:creationId xmlns:a16="http://schemas.microsoft.com/office/drawing/2014/main" id="{517849A3-499E-4420-BEB6-6129E03A3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39" name="Picture 603" descr="spacer">
          <a:extLst>
            <a:ext uri="{FF2B5EF4-FFF2-40B4-BE49-F238E27FC236}">
              <a16:creationId xmlns:a16="http://schemas.microsoft.com/office/drawing/2014/main" id="{1CBE7566-A1AF-4BC8-BE76-C43CF263F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40" name="Picture 604" descr="spacer">
          <a:extLst>
            <a:ext uri="{FF2B5EF4-FFF2-40B4-BE49-F238E27FC236}">
              <a16:creationId xmlns:a16="http://schemas.microsoft.com/office/drawing/2014/main" id="{38049A6F-3633-443D-A0E2-5473A6EAA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41" name="Picture 605" descr="spacer">
          <a:extLst>
            <a:ext uri="{FF2B5EF4-FFF2-40B4-BE49-F238E27FC236}">
              <a16:creationId xmlns:a16="http://schemas.microsoft.com/office/drawing/2014/main" id="{94D1D80C-CEEE-4BC7-8464-785FD3015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42" name="Picture 606" descr="spacer">
          <a:extLst>
            <a:ext uri="{FF2B5EF4-FFF2-40B4-BE49-F238E27FC236}">
              <a16:creationId xmlns:a16="http://schemas.microsoft.com/office/drawing/2014/main" id="{EA388597-90EB-488D-BD3D-30F488BAF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43" name="Picture 607" descr="spacer">
          <a:extLst>
            <a:ext uri="{FF2B5EF4-FFF2-40B4-BE49-F238E27FC236}">
              <a16:creationId xmlns:a16="http://schemas.microsoft.com/office/drawing/2014/main" id="{46C3800A-B5FA-4A20-B155-A6CD6FBE6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44" name="Picture 608" descr="spacer">
          <a:extLst>
            <a:ext uri="{FF2B5EF4-FFF2-40B4-BE49-F238E27FC236}">
              <a16:creationId xmlns:a16="http://schemas.microsoft.com/office/drawing/2014/main" id="{7E79E4EC-5941-45D3-9C0D-CEA83CCD10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45" name="Picture 609" descr="spacer">
          <a:extLst>
            <a:ext uri="{FF2B5EF4-FFF2-40B4-BE49-F238E27FC236}">
              <a16:creationId xmlns:a16="http://schemas.microsoft.com/office/drawing/2014/main" id="{769E10E9-9589-4670-8662-15F4F7D88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46" name="Picture 610" descr="spacer">
          <a:extLst>
            <a:ext uri="{FF2B5EF4-FFF2-40B4-BE49-F238E27FC236}">
              <a16:creationId xmlns:a16="http://schemas.microsoft.com/office/drawing/2014/main" id="{B75F530C-3ADF-4BC5-98DB-4E51E73F0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847" name="Picture 613" descr="spacer">
          <a:extLst>
            <a:ext uri="{FF2B5EF4-FFF2-40B4-BE49-F238E27FC236}">
              <a16:creationId xmlns:a16="http://schemas.microsoft.com/office/drawing/2014/main" id="{15C827EF-400E-4EBF-9C5C-6E83965F9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48" name="Picture 615" descr="spacer">
          <a:extLst>
            <a:ext uri="{FF2B5EF4-FFF2-40B4-BE49-F238E27FC236}">
              <a16:creationId xmlns:a16="http://schemas.microsoft.com/office/drawing/2014/main" id="{C2537001-1FE0-4EAD-A898-A432223E2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49" name="Picture 616" descr="spacer">
          <a:extLst>
            <a:ext uri="{FF2B5EF4-FFF2-40B4-BE49-F238E27FC236}">
              <a16:creationId xmlns:a16="http://schemas.microsoft.com/office/drawing/2014/main" id="{F3897F80-F90D-4D5D-8983-39102EBC6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50" name="Picture 617" descr="spacer">
          <a:extLst>
            <a:ext uri="{FF2B5EF4-FFF2-40B4-BE49-F238E27FC236}">
              <a16:creationId xmlns:a16="http://schemas.microsoft.com/office/drawing/2014/main" id="{9E1587A5-389A-4132-8FA7-E949C802B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51" name="Picture 618" descr="spacer">
          <a:extLst>
            <a:ext uri="{FF2B5EF4-FFF2-40B4-BE49-F238E27FC236}">
              <a16:creationId xmlns:a16="http://schemas.microsoft.com/office/drawing/2014/main" id="{C55D38E8-4749-4AFA-AB37-2DAE2C241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52" name="Picture 619" descr="spacer">
          <a:extLst>
            <a:ext uri="{FF2B5EF4-FFF2-40B4-BE49-F238E27FC236}">
              <a16:creationId xmlns:a16="http://schemas.microsoft.com/office/drawing/2014/main" id="{95E9FDC5-3F80-4C85-9DD8-E933B24A3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53" name="Picture 620" descr="spacer">
          <a:extLst>
            <a:ext uri="{FF2B5EF4-FFF2-40B4-BE49-F238E27FC236}">
              <a16:creationId xmlns:a16="http://schemas.microsoft.com/office/drawing/2014/main" id="{92F563D1-1C0C-4C53-9C65-788E11619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54" name="Picture 621" descr="spacer">
          <a:extLst>
            <a:ext uri="{FF2B5EF4-FFF2-40B4-BE49-F238E27FC236}">
              <a16:creationId xmlns:a16="http://schemas.microsoft.com/office/drawing/2014/main" id="{18BC5FAE-B2A1-4C2F-8965-336BEB248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55" name="Picture 622" descr="spacer">
          <a:extLst>
            <a:ext uri="{FF2B5EF4-FFF2-40B4-BE49-F238E27FC236}">
              <a16:creationId xmlns:a16="http://schemas.microsoft.com/office/drawing/2014/main" id="{5A63D22F-FAD5-46B2-87FC-1F4E7A18D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56" name="Picture 623" descr="spacer">
          <a:extLst>
            <a:ext uri="{FF2B5EF4-FFF2-40B4-BE49-F238E27FC236}">
              <a16:creationId xmlns:a16="http://schemas.microsoft.com/office/drawing/2014/main" id="{33C61BB3-FCEA-420F-B253-36554CD29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57" name="Picture 624" descr="spacer">
          <a:extLst>
            <a:ext uri="{FF2B5EF4-FFF2-40B4-BE49-F238E27FC236}">
              <a16:creationId xmlns:a16="http://schemas.microsoft.com/office/drawing/2014/main" id="{E8BAFB54-C9FA-4639-899A-C1C763271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58" name="Picture 625" descr="spacer">
          <a:extLst>
            <a:ext uri="{FF2B5EF4-FFF2-40B4-BE49-F238E27FC236}">
              <a16:creationId xmlns:a16="http://schemas.microsoft.com/office/drawing/2014/main" id="{B93C1727-646B-4997-8097-14137FA82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59" name="Picture 626" descr="spacer">
          <a:extLst>
            <a:ext uri="{FF2B5EF4-FFF2-40B4-BE49-F238E27FC236}">
              <a16:creationId xmlns:a16="http://schemas.microsoft.com/office/drawing/2014/main" id="{4BF8D944-494D-4B82-97C8-D1F5BD0F4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60" name="Picture 627" descr="spacer">
          <a:extLst>
            <a:ext uri="{FF2B5EF4-FFF2-40B4-BE49-F238E27FC236}">
              <a16:creationId xmlns:a16="http://schemas.microsoft.com/office/drawing/2014/main" id="{13F2816B-446F-48A7-AF9B-F37E4853A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61" name="Picture 628" descr="spacer">
          <a:extLst>
            <a:ext uri="{FF2B5EF4-FFF2-40B4-BE49-F238E27FC236}">
              <a16:creationId xmlns:a16="http://schemas.microsoft.com/office/drawing/2014/main" id="{766C2D08-9163-4058-9942-9AC1508DA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862" name="Picture 631" descr="spacer">
          <a:extLst>
            <a:ext uri="{FF2B5EF4-FFF2-40B4-BE49-F238E27FC236}">
              <a16:creationId xmlns:a16="http://schemas.microsoft.com/office/drawing/2014/main" id="{937B1C62-3236-44AA-AAA5-F14A53781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63" name="Picture 633" descr="spacer">
          <a:extLst>
            <a:ext uri="{FF2B5EF4-FFF2-40B4-BE49-F238E27FC236}">
              <a16:creationId xmlns:a16="http://schemas.microsoft.com/office/drawing/2014/main" id="{70AC2E49-0F0E-417B-92AA-C668AAE6B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64" name="Picture 634" descr="spacer">
          <a:extLst>
            <a:ext uri="{FF2B5EF4-FFF2-40B4-BE49-F238E27FC236}">
              <a16:creationId xmlns:a16="http://schemas.microsoft.com/office/drawing/2014/main" id="{C4BE1A7C-28B7-4E80-9EF1-2FB560FC1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65" name="Picture 635" descr="spacer">
          <a:extLst>
            <a:ext uri="{FF2B5EF4-FFF2-40B4-BE49-F238E27FC236}">
              <a16:creationId xmlns:a16="http://schemas.microsoft.com/office/drawing/2014/main" id="{D3C3624E-272B-4142-855F-D6900C019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66" name="Picture 636" descr="spacer">
          <a:extLst>
            <a:ext uri="{FF2B5EF4-FFF2-40B4-BE49-F238E27FC236}">
              <a16:creationId xmlns:a16="http://schemas.microsoft.com/office/drawing/2014/main" id="{D9DA5E7E-3C1B-4AAE-86D9-892508A2A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67" name="Picture 637" descr="spacer">
          <a:extLst>
            <a:ext uri="{FF2B5EF4-FFF2-40B4-BE49-F238E27FC236}">
              <a16:creationId xmlns:a16="http://schemas.microsoft.com/office/drawing/2014/main" id="{3C6DF954-A935-4F93-BA9F-28590A710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68" name="Picture 638" descr="spacer">
          <a:extLst>
            <a:ext uri="{FF2B5EF4-FFF2-40B4-BE49-F238E27FC236}">
              <a16:creationId xmlns:a16="http://schemas.microsoft.com/office/drawing/2014/main" id="{1D62DCD1-315B-43E3-8498-3547F4AB5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69" name="Picture 639" descr="spacer">
          <a:extLst>
            <a:ext uri="{FF2B5EF4-FFF2-40B4-BE49-F238E27FC236}">
              <a16:creationId xmlns:a16="http://schemas.microsoft.com/office/drawing/2014/main" id="{09E4013B-F67C-41D0-BF4D-181EB040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70" name="Picture 640" descr="spacer">
          <a:extLst>
            <a:ext uri="{FF2B5EF4-FFF2-40B4-BE49-F238E27FC236}">
              <a16:creationId xmlns:a16="http://schemas.microsoft.com/office/drawing/2014/main" id="{0E99F5AA-51A6-4B6E-96B5-10E33878D2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71" name="Picture 641" descr="spacer">
          <a:extLst>
            <a:ext uri="{FF2B5EF4-FFF2-40B4-BE49-F238E27FC236}">
              <a16:creationId xmlns:a16="http://schemas.microsoft.com/office/drawing/2014/main" id="{927E44F0-4CAB-420E-B3E1-1E6439918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72" name="Picture 642" descr="spacer">
          <a:extLst>
            <a:ext uri="{FF2B5EF4-FFF2-40B4-BE49-F238E27FC236}">
              <a16:creationId xmlns:a16="http://schemas.microsoft.com/office/drawing/2014/main" id="{9F53D2A5-FB43-4D63-B52D-528CFBAAF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73" name="Picture 643" descr="spacer">
          <a:extLst>
            <a:ext uri="{FF2B5EF4-FFF2-40B4-BE49-F238E27FC236}">
              <a16:creationId xmlns:a16="http://schemas.microsoft.com/office/drawing/2014/main" id="{39241A40-78CC-4A6B-8E65-A0A59395E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74" name="Picture 644" descr="spacer">
          <a:extLst>
            <a:ext uri="{FF2B5EF4-FFF2-40B4-BE49-F238E27FC236}">
              <a16:creationId xmlns:a16="http://schemas.microsoft.com/office/drawing/2014/main" id="{5037648F-A655-4C15-974D-F3D28E3A52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75" name="Picture 645" descr="spacer">
          <a:extLst>
            <a:ext uri="{FF2B5EF4-FFF2-40B4-BE49-F238E27FC236}">
              <a16:creationId xmlns:a16="http://schemas.microsoft.com/office/drawing/2014/main" id="{15701B09-FB30-4A5B-891E-74EB96152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876" name="Picture 648" descr="spacer">
          <a:extLst>
            <a:ext uri="{FF2B5EF4-FFF2-40B4-BE49-F238E27FC236}">
              <a16:creationId xmlns:a16="http://schemas.microsoft.com/office/drawing/2014/main" id="{32376D94-7B67-434A-85FD-CF6FC8F48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77" name="Picture 650" descr="spacer">
          <a:extLst>
            <a:ext uri="{FF2B5EF4-FFF2-40B4-BE49-F238E27FC236}">
              <a16:creationId xmlns:a16="http://schemas.microsoft.com/office/drawing/2014/main" id="{933DDE78-029A-4AF3-BE79-EE6E48A6F0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78" name="Picture 651" descr="spacer">
          <a:extLst>
            <a:ext uri="{FF2B5EF4-FFF2-40B4-BE49-F238E27FC236}">
              <a16:creationId xmlns:a16="http://schemas.microsoft.com/office/drawing/2014/main" id="{7DE1306E-F028-4D04-91FC-8B2FE19E6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79" name="Picture 652" descr="spacer">
          <a:extLst>
            <a:ext uri="{FF2B5EF4-FFF2-40B4-BE49-F238E27FC236}">
              <a16:creationId xmlns:a16="http://schemas.microsoft.com/office/drawing/2014/main" id="{D8F12691-4051-4BC9-9622-639C729CA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80" name="Picture 653" descr="spacer">
          <a:extLst>
            <a:ext uri="{FF2B5EF4-FFF2-40B4-BE49-F238E27FC236}">
              <a16:creationId xmlns:a16="http://schemas.microsoft.com/office/drawing/2014/main" id="{37871ED7-983A-4059-B21C-25CCB2CF6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81" name="Picture 654" descr="spacer">
          <a:extLst>
            <a:ext uri="{FF2B5EF4-FFF2-40B4-BE49-F238E27FC236}">
              <a16:creationId xmlns:a16="http://schemas.microsoft.com/office/drawing/2014/main" id="{0B67DD48-76C1-43D8-931B-450AFA206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82" name="Picture 655" descr="spacer">
          <a:extLst>
            <a:ext uri="{FF2B5EF4-FFF2-40B4-BE49-F238E27FC236}">
              <a16:creationId xmlns:a16="http://schemas.microsoft.com/office/drawing/2014/main" id="{E236C8FA-503C-48FD-9599-7838CFFA9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83" name="Picture 656" descr="spacer">
          <a:extLst>
            <a:ext uri="{FF2B5EF4-FFF2-40B4-BE49-F238E27FC236}">
              <a16:creationId xmlns:a16="http://schemas.microsoft.com/office/drawing/2014/main" id="{53F66804-91C1-4FE9-B6E6-E54363236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84" name="Picture 657" descr="spacer">
          <a:extLst>
            <a:ext uri="{FF2B5EF4-FFF2-40B4-BE49-F238E27FC236}">
              <a16:creationId xmlns:a16="http://schemas.microsoft.com/office/drawing/2014/main" id="{9BE93932-DC36-4B4D-9BD4-A2958B01B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85" name="Picture 658" descr="spacer">
          <a:extLst>
            <a:ext uri="{FF2B5EF4-FFF2-40B4-BE49-F238E27FC236}">
              <a16:creationId xmlns:a16="http://schemas.microsoft.com/office/drawing/2014/main" id="{C333F1F0-F153-43F2-8F04-26E93C22C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86" name="Picture 659" descr="spacer">
          <a:extLst>
            <a:ext uri="{FF2B5EF4-FFF2-40B4-BE49-F238E27FC236}">
              <a16:creationId xmlns:a16="http://schemas.microsoft.com/office/drawing/2014/main" id="{0D20A376-EC97-4C9D-BEFE-50E3FF204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87" name="Picture 660" descr="spacer">
          <a:extLst>
            <a:ext uri="{FF2B5EF4-FFF2-40B4-BE49-F238E27FC236}">
              <a16:creationId xmlns:a16="http://schemas.microsoft.com/office/drawing/2014/main" id="{27B2E440-41DF-4E67-964D-06ED2DB48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88" name="Picture 661" descr="spacer">
          <a:extLst>
            <a:ext uri="{FF2B5EF4-FFF2-40B4-BE49-F238E27FC236}">
              <a16:creationId xmlns:a16="http://schemas.microsoft.com/office/drawing/2014/main" id="{C7845CD6-B063-4151-B362-DE333C032C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89" name="Picture 662" descr="spacer">
          <a:extLst>
            <a:ext uri="{FF2B5EF4-FFF2-40B4-BE49-F238E27FC236}">
              <a16:creationId xmlns:a16="http://schemas.microsoft.com/office/drawing/2014/main" id="{4C554EE1-2E9E-4874-B981-362967930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890" name="Picture 665" descr="spacer">
          <a:extLst>
            <a:ext uri="{FF2B5EF4-FFF2-40B4-BE49-F238E27FC236}">
              <a16:creationId xmlns:a16="http://schemas.microsoft.com/office/drawing/2014/main" id="{FC93D3B9-1F48-4479-8A87-5C104D2CE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91" name="Picture 667" descr="spacer">
          <a:extLst>
            <a:ext uri="{FF2B5EF4-FFF2-40B4-BE49-F238E27FC236}">
              <a16:creationId xmlns:a16="http://schemas.microsoft.com/office/drawing/2014/main" id="{DB003A9C-4539-4418-9BD3-493A25F8D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92" name="Picture 668" descr="spacer">
          <a:extLst>
            <a:ext uri="{FF2B5EF4-FFF2-40B4-BE49-F238E27FC236}">
              <a16:creationId xmlns:a16="http://schemas.microsoft.com/office/drawing/2014/main" id="{2C5150EA-EC02-459B-A738-DA07A42A7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93" name="Picture 669" descr="spacer">
          <a:extLst>
            <a:ext uri="{FF2B5EF4-FFF2-40B4-BE49-F238E27FC236}">
              <a16:creationId xmlns:a16="http://schemas.microsoft.com/office/drawing/2014/main" id="{2F5E5F02-294E-4A5D-B5D4-608F1C7C00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94" name="Picture 670" descr="spacer">
          <a:extLst>
            <a:ext uri="{FF2B5EF4-FFF2-40B4-BE49-F238E27FC236}">
              <a16:creationId xmlns:a16="http://schemas.microsoft.com/office/drawing/2014/main" id="{DC6CBBE4-0F4D-4AC2-8C57-EE9777007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95" name="Picture 671" descr="spacer">
          <a:extLst>
            <a:ext uri="{FF2B5EF4-FFF2-40B4-BE49-F238E27FC236}">
              <a16:creationId xmlns:a16="http://schemas.microsoft.com/office/drawing/2014/main" id="{9744FA52-CFD6-4C4B-A2E2-9B09C748D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96" name="Picture 672" descr="spacer">
          <a:extLst>
            <a:ext uri="{FF2B5EF4-FFF2-40B4-BE49-F238E27FC236}">
              <a16:creationId xmlns:a16="http://schemas.microsoft.com/office/drawing/2014/main" id="{AADAA095-E9E5-4B45-B7EA-E18A07CB0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97" name="Picture 673" descr="spacer">
          <a:extLst>
            <a:ext uri="{FF2B5EF4-FFF2-40B4-BE49-F238E27FC236}">
              <a16:creationId xmlns:a16="http://schemas.microsoft.com/office/drawing/2014/main" id="{DD3D493D-5445-49E9-A55C-06A18FA0B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98" name="Picture 674" descr="spacer">
          <a:extLst>
            <a:ext uri="{FF2B5EF4-FFF2-40B4-BE49-F238E27FC236}">
              <a16:creationId xmlns:a16="http://schemas.microsoft.com/office/drawing/2014/main" id="{D60A9F3D-5C09-4BB3-B4A7-19DB63F4E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899" name="Picture 675" descr="spacer">
          <a:extLst>
            <a:ext uri="{FF2B5EF4-FFF2-40B4-BE49-F238E27FC236}">
              <a16:creationId xmlns:a16="http://schemas.microsoft.com/office/drawing/2014/main" id="{4B3554AF-9CC8-4F0C-B432-C179202187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00" name="Picture 676" descr="spacer">
          <a:extLst>
            <a:ext uri="{FF2B5EF4-FFF2-40B4-BE49-F238E27FC236}">
              <a16:creationId xmlns:a16="http://schemas.microsoft.com/office/drawing/2014/main" id="{0B4FEC3E-AEA1-47EF-9756-B2430713B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01" name="Picture 677" descr="spacer">
          <a:extLst>
            <a:ext uri="{FF2B5EF4-FFF2-40B4-BE49-F238E27FC236}">
              <a16:creationId xmlns:a16="http://schemas.microsoft.com/office/drawing/2014/main" id="{BAC1BB9A-4011-444D-BC76-DD0FF88CF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02" name="Picture 678" descr="spacer">
          <a:extLst>
            <a:ext uri="{FF2B5EF4-FFF2-40B4-BE49-F238E27FC236}">
              <a16:creationId xmlns:a16="http://schemas.microsoft.com/office/drawing/2014/main" id="{75FAC8E6-7E9C-4758-BBF0-6939728B6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03" name="Picture 679" descr="spacer">
          <a:extLst>
            <a:ext uri="{FF2B5EF4-FFF2-40B4-BE49-F238E27FC236}">
              <a16:creationId xmlns:a16="http://schemas.microsoft.com/office/drawing/2014/main" id="{F261153F-1DCC-46F0-BDF0-D03379482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04" name="Picture 680" descr="spacer">
          <a:extLst>
            <a:ext uri="{FF2B5EF4-FFF2-40B4-BE49-F238E27FC236}">
              <a16:creationId xmlns:a16="http://schemas.microsoft.com/office/drawing/2014/main" id="{98DB7563-CA07-4CC7-A75E-07508F755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905" name="Picture 683" descr="spacer">
          <a:extLst>
            <a:ext uri="{FF2B5EF4-FFF2-40B4-BE49-F238E27FC236}">
              <a16:creationId xmlns:a16="http://schemas.microsoft.com/office/drawing/2014/main" id="{E3629E72-7A33-43E6-9C1B-D8EE42F9E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06" name="Picture 685" descr="spacer">
          <a:extLst>
            <a:ext uri="{FF2B5EF4-FFF2-40B4-BE49-F238E27FC236}">
              <a16:creationId xmlns:a16="http://schemas.microsoft.com/office/drawing/2014/main" id="{00F5448A-BA06-41F1-81D0-519360943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07" name="Picture 686" descr="spacer">
          <a:extLst>
            <a:ext uri="{FF2B5EF4-FFF2-40B4-BE49-F238E27FC236}">
              <a16:creationId xmlns:a16="http://schemas.microsoft.com/office/drawing/2014/main" id="{0AAA80FF-2F3A-44FA-BC45-DF7ECCDA5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08" name="Picture 687" descr="spacer">
          <a:extLst>
            <a:ext uri="{FF2B5EF4-FFF2-40B4-BE49-F238E27FC236}">
              <a16:creationId xmlns:a16="http://schemas.microsoft.com/office/drawing/2014/main" id="{78FBE079-AF49-40FD-8D84-FEC58E114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09" name="Picture 688" descr="spacer">
          <a:extLst>
            <a:ext uri="{FF2B5EF4-FFF2-40B4-BE49-F238E27FC236}">
              <a16:creationId xmlns:a16="http://schemas.microsoft.com/office/drawing/2014/main" id="{96ABA396-E4DD-431C-B9FA-B8F8B61BE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10" name="Picture 689" descr="spacer">
          <a:extLst>
            <a:ext uri="{FF2B5EF4-FFF2-40B4-BE49-F238E27FC236}">
              <a16:creationId xmlns:a16="http://schemas.microsoft.com/office/drawing/2014/main" id="{4408AAF9-DD15-4B39-9C37-6AA691145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11" name="Picture 690" descr="spacer">
          <a:extLst>
            <a:ext uri="{FF2B5EF4-FFF2-40B4-BE49-F238E27FC236}">
              <a16:creationId xmlns:a16="http://schemas.microsoft.com/office/drawing/2014/main" id="{1A701BBC-FF92-4D61-B8C6-1A1DCF777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12" name="Picture 691" descr="spacer">
          <a:extLst>
            <a:ext uri="{FF2B5EF4-FFF2-40B4-BE49-F238E27FC236}">
              <a16:creationId xmlns:a16="http://schemas.microsoft.com/office/drawing/2014/main" id="{EE3457D1-B492-421A-B359-20A07AAE4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13" name="Picture 692" descr="spacer">
          <a:extLst>
            <a:ext uri="{FF2B5EF4-FFF2-40B4-BE49-F238E27FC236}">
              <a16:creationId xmlns:a16="http://schemas.microsoft.com/office/drawing/2014/main" id="{A399E80C-5818-4400-B3EB-9F139AEC1A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14" name="Picture 693" descr="spacer">
          <a:extLst>
            <a:ext uri="{FF2B5EF4-FFF2-40B4-BE49-F238E27FC236}">
              <a16:creationId xmlns:a16="http://schemas.microsoft.com/office/drawing/2014/main" id="{4D0327A1-0FC2-405E-84DA-483EC7627F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15" name="Picture 694" descr="spacer">
          <a:extLst>
            <a:ext uri="{FF2B5EF4-FFF2-40B4-BE49-F238E27FC236}">
              <a16:creationId xmlns:a16="http://schemas.microsoft.com/office/drawing/2014/main" id="{D4C81340-3A05-4957-AF3E-D579C0F66F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16" name="Picture 695" descr="spacer">
          <a:extLst>
            <a:ext uri="{FF2B5EF4-FFF2-40B4-BE49-F238E27FC236}">
              <a16:creationId xmlns:a16="http://schemas.microsoft.com/office/drawing/2014/main" id="{71885E27-C1AD-46F6-AFB0-61A2A808E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17" name="Picture 696" descr="spacer">
          <a:extLst>
            <a:ext uri="{FF2B5EF4-FFF2-40B4-BE49-F238E27FC236}">
              <a16:creationId xmlns:a16="http://schemas.microsoft.com/office/drawing/2014/main" id="{58405804-5BFB-4C2F-A933-07B9B5125F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18" name="Picture 697" descr="spacer">
          <a:extLst>
            <a:ext uri="{FF2B5EF4-FFF2-40B4-BE49-F238E27FC236}">
              <a16:creationId xmlns:a16="http://schemas.microsoft.com/office/drawing/2014/main" id="{0F290FD0-A865-400A-9AB8-4FA5517BA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19" name="Picture 698" descr="spacer">
          <a:extLst>
            <a:ext uri="{FF2B5EF4-FFF2-40B4-BE49-F238E27FC236}">
              <a16:creationId xmlns:a16="http://schemas.microsoft.com/office/drawing/2014/main" id="{8C87AC83-3902-459A-9FB8-6251BA27F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20" name="Picture 699" descr="spacer">
          <a:extLst>
            <a:ext uri="{FF2B5EF4-FFF2-40B4-BE49-F238E27FC236}">
              <a16:creationId xmlns:a16="http://schemas.microsoft.com/office/drawing/2014/main" id="{237FEB54-1255-4175-A6CB-75FE29765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921" name="Picture 702" descr="spacer">
          <a:extLst>
            <a:ext uri="{FF2B5EF4-FFF2-40B4-BE49-F238E27FC236}">
              <a16:creationId xmlns:a16="http://schemas.microsoft.com/office/drawing/2014/main" id="{689A40F3-79D8-417C-8655-5A9BEC76A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22" name="Picture 704" descr="spacer">
          <a:extLst>
            <a:ext uri="{FF2B5EF4-FFF2-40B4-BE49-F238E27FC236}">
              <a16:creationId xmlns:a16="http://schemas.microsoft.com/office/drawing/2014/main" id="{6814C24D-0F42-47A8-B306-0064099DC1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23" name="Picture 705" descr="spacer">
          <a:extLst>
            <a:ext uri="{FF2B5EF4-FFF2-40B4-BE49-F238E27FC236}">
              <a16:creationId xmlns:a16="http://schemas.microsoft.com/office/drawing/2014/main" id="{9D8376B2-88AF-4AC7-BF3A-4F0B9DF9A7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24" name="Picture 706" descr="spacer">
          <a:extLst>
            <a:ext uri="{FF2B5EF4-FFF2-40B4-BE49-F238E27FC236}">
              <a16:creationId xmlns:a16="http://schemas.microsoft.com/office/drawing/2014/main" id="{F853973E-BB67-41F9-8E91-C44A8F8A7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25" name="Picture 707" descr="spacer">
          <a:extLst>
            <a:ext uri="{FF2B5EF4-FFF2-40B4-BE49-F238E27FC236}">
              <a16:creationId xmlns:a16="http://schemas.microsoft.com/office/drawing/2014/main" id="{293C5040-7383-440B-860D-544893C16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26" name="Picture 708" descr="spacer">
          <a:extLst>
            <a:ext uri="{FF2B5EF4-FFF2-40B4-BE49-F238E27FC236}">
              <a16:creationId xmlns:a16="http://schemas.microsoft.com/office/drawing/2014/main" id="{14307401-48DA-4395-9984-C11B7FAD3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27" name="Picture 709" descr="spacer">
          <a:extLst>
            <a:ext uri="{FF2B5EF4-FFF2-40B4-BE49-F238E27FC236}">
              <a16:creationId xmlns:a16="http://schemas.microsoft.com/office/drawing/2014/main" id="{01B3CC97-B3E0-43B2-BBDD-2EA184400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28" name="Picture 710" descr="spacer">
          <a:extLst>
            <a:ext uri="{FF2B5EF4-FFF2-40B4-BE49-F238E27FC236}">
              <a16:creationId xmlns:a16="http://schemas.microsoft.com/office/drawing/2014/main" id="{82A7682C-0D54-47AA-A489-A82E61BB4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29" name="Picture 711" descr="spacer">
          <a:extLst>
            <a:ext uri="{FF2B5EF4-FFF2-40B4-BE49-F238E27FC236}">
              <a16:creationId xmlns:a16="http://schemas.microsoft.com/office/drawing/2014/main" id="{553385F2-A554-4C36-885C-9D91024BE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30" name="Picture 712" descr="spacer">
          <a:extLst>
            <a:ext uri="{FF2B5EF4-FFF2-40B4-BE49-F238E27FC236}">
              <a16:creationId xmlns:a16="http://schemas.microsoft.com/office/drawing/2014/main" id="{F471B996-4544-4F68-8AF7-B6559721B0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31" name="Picture 713" descr="spacer">
          <a:extLst>
            <a:ext uri="{FF2B5EF4-FFF2-40B4-BE49-F238E27FC236}">
              <a16:creationId xmlns:a16="http://schemas.microsoft.com/office/drawing/2014/main" id="{B5E46663-AFEB-4E03-9B4F-A244EFAEA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32" name="Picture 714" descr="spacer">
          <a:extLst>
            <a:ext uri="{FF2B5EF4-FFF2-40B4-BE49-F238E27FC236}">
              <a16:creationId xmlns:a16="http://schemas.microsoft.com/office/drawing/2014/main" id="{DD0C213C-E812-463B-9366-2C487085D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33" name="Picture 715" descr="spacer">
          <a:extLst>
            <a:ext uri="{FF2B5EF4-FFF2-40B4-BE49-F238E27FC236}">
              <a16:creationId xmlns:a16="http://schemas.microsoft.com/office/drawing/2014/main" id="{287B498B-342C-45F8-8E30-610516C52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34" name="Picture 716" descr="spacer">
          <a:extLst>
            <a:ext uri="{FF2B5EF4-FFF2-40B4-BE49-F238E27FC236}">
              <a16:creationId xmlns:a16="http://schemas.microsoft.com/office/drawing/2014/main" id="{3D90EA1B-6670-4809-A679-23499D312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935" name="Picture 719" descr="spacer">
          <a:extLst>
            <a:ext uri="{FF2B5EF4-FFF2-40B4-BE49-F238E27FC236}">
              <a16:creationId xmlns:a16="http://schemas.microsoft.com/office/drawing/2014/main" id="{E73D088C-D3C1-4E41-9787-F1A027FAC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36" name="Picture 721" descr="spacer">
          <a:extLst>
            <a:ext uri="{FF2B5EF4-FFF2-40B4-BE49-F238E27FC236}">
              <a16:creationId xmlns:a16="http://schemas.microsoft.com/office/drawing/2014/main" id="{D8FF9E95-5C2A-4439-B91E-8F73D5296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37" name="Picture 722" descr="spacer">
          <a:extLst>
            <a:ext uri="{FF2B5EF4-FFF2-40B4-BE49-F238E27FC236}">
              <a16:creationId xmlns:a16="http://schemas.microsoft.com/office/drawing/2014/main" id="{9D7BFE20-C408-44B6-B4C7-EBCDFE225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38" name="Picture 723" descr="spacer">
          <a:extLst>
            <a:ext uri="{FF2B5EF4-FFF2-40B4-BE49-F238E27FC236}">
              <a16:creationId xmlns:a16="http://schemas.microsoft.com/office/drawing/2014/main" id="{FA12BFB0-9120-4C9A-A10F-BC4B2491B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39" name="Picture 724" descr="spacer">
          <a:extLst>
            <a:ext uri="{FF2B5EF4-FFF2-40B4-BE49-F238E27FC236}">
              <a16:creationId xmlns:a16="http://schemas.microsoft.com/office/drawing/2014/main" id="{3EA26E3C-CF50-470E-B6FD-0F5BBAA49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40" name="Picture 725" descr="spacer">
          <a:extLst>
            <a:ext uri="{FF2B5EF4-FFF2-40B4-BE49-F238E27FC236}">
              <a16:creationId xmlns:a16="http://schemas.microsoft.com/office/drawing/2014/main" id="{83E53621-F8D6-4695-8FE6-4FF4514C8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41" name="Picture 726" descr="spacer">
          <a:extLst>
            <a:ext uri="{FF2B5EF4-FFF2-40B4-BE49-F238E27FC236}">
              <a16:creationId xmlns:a16="http://schemas.microsoft.com/office/drawing/2014/main" id="{5DFA6B35-7263-4FBB-A3D8-BA4B9CC8A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42" name="Picture 727" descr="spacer">
          <a:extLst>
            <a:ext uri="{FF2B5EF4-FFF2-40B4-BE49-F238E27FC236}">
              <a16:creationId xmlns:a16="http://schemas.microsoft.com/office/drawing/2014/main" id="{1644BFED-6656-4EC5-8F8E-EDC3FD54BF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43" name="Picture 728" descr="spacer">
          <a:extLst>
            <a:ext uri="{FF2B5EF4-FFF2-40B4-BE49-F238E27FC236}">
              <a16:creationId xmlns:a16="http://schemas.microsoft.com/office/drawing/2014/main" id="{8E22CBF7-62C0-431C-A5D7-FB4AAD54B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44" name="Picture 729" descr="spacer">
          <a:extLst>
            <a:ext uri="{FF2B5EF4-FFF2-40B4-BE49-F238E27FC236}">
              <a16:creationId xmlns:a16="http://schemas.microsoft.com/office/drawing/2014/main" id="{1465DCA9-A682-4175-BF66-23C8ECD03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45" name="Picture 730" descr="spacer">
          <a:extLst>
            <a:ext uri="{FF2B5EF4-FFF2-40B4-BE49-F238E27FC236}">
              <a16:creationId xmlns:a16="http://schemas.microsoft.com/office/drawing/2014/main" id="{3980248C-D992-472A-9CCD-F700CF0ACE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46" name="Picture 731" descr="spacer">
          <a:extLst>
            <a:ext uri="{FF2B5EF4-FFF2-40B4-BE49-F238E27FC236}">
              <a16:creationId xmlns:a16="http://schemas.microsoft.com/office/drawing/2014/main" id="{D6539436-09F1-40C6-9278-AE98FE73E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47" name="Picture 732" descr="spacer">
          <a:extLst>
            <a:ext uri="{FF2B5EF4-FFF2-40B4-BE49-F238E27FC236}">
              <a16:creationId xmlns:a16="http://schemas.microsoft.com/office/drawing/2014/main" id="{EB7773CE-22A6-482F-BAA1-02867CB5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48" name="Picture 733" descr="spacer">
          <a:extLst>
            <a:ext uri="{FF2B5EF4-FFF2-40B4-BE49-F238E27FC236}">
              <a16:creationId xmlns:a16="http://schemas.microsoft.com/office/drawing/2014/main" id="{ECEA7354-5B43-4F81-8EF7-E021CB533C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49" name="Picture 734" descr="spacer">
          <a:extLst>
            <a:ext uri="{FF2B5EF4-FFF2-40B4-BE49-F238E27FC236}">
              <a16:creationId xmlns:a16="http://schemas.microsoft.com/office/drawing/2014/main" id="{54BD61FE-7EDE-4FC0-BD21-15DDC9421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50" name="Picture 735" descr="spacer">
          <a:extLst>
            <a:ext uri="{FF2B5EF4-FFF2-40B4-BE49-F238E27FC236}">
              <a16:creationId xmlns:a16="http://schemas.microsoft.com/office/drawing/2014/main" id="{59F56F7F-ADAA-4485-8B12-160DC89B4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951" name="Picture 738" descr="spacer">
          <a:extLst>
            <a:ext uri="{FF2B5EF4-FFF2-40B4-BE49-F238E27FC236}">
              <a16:creationId xmlns:a16="http://schemas.microsoft.com/office/drawing/2014/main" id="{F9E04B88-DB55-4F39-BF1E-CD000F889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52" name="Picture 740" descr="spacer">
          <a:extLst>
            <a:ext uri="{FF2B5EF4-FFF2-40B4-BE49-F238E27FC236}">
              <a16:creationId xmlns:a16="http://schemas.microsoft.com/office/drawing/2014/main" id="{72595561-245B-418F-9BD0-6D0934878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53" name="Picture 741" descr="spacer">
          <a:extLst>
            <a:ext uri="{FF2B5EF4-FFF2-40B4-BE49-F238E27FC236}">
              <a16:creationId xmlns:a16="http://schemas.microsoft.com/office/drawing/2014/main" id="{AE955063-0DC1-4FBB-AFD9-F1D2431B3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54" name="Picture 742" descr="spacer">
          <a:extLst>
            <a:ext uri="{FF2B5EF4-FFF2-40B4-BE49-F238E27FC236}">
              <a16:creationId xmlns:a16="http://schemas.microsoft.com/office/drawing/2014/main" id="{70E624C3-E921-44E0-9CAA-39F434945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55" name="Picture 743" descr="spacer">
          <a:extLst>
            <a:ext uri="{FF2B5EF4-FFF2-40B4-BE49-F238E27FC236}">
              <a16:creationId xmlns:a16="http://schemas.microsoft.com/office/drawing/2014/main" id="{E60DF2A6-24DA-4B0F-9D91-147C509F8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56" name="Picture 744" descr="spacer">
          <a:extLst>
            <a:ext uri="{FF2B5EF4-FFF2-40B4-BE49-F238E27FC236}">
              <a16:creationId xmlns:a16="http://schemas.microsoft.com/office/drawing/2014/main" id="{6FFB4E7B-A3EC-4B4C-8EDB-9652235F1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57" name="Picture 745" descr="spacer">
          <a:extLst>
            <a:ext uri="{FF2B5EF4-FFF2-40B4-BE49-F238E27FC236}">
              <a16:creationId xmlns:a16="http://schemas.microsoft.com/office/drawing/2014/main" id="{7FCA5212-6E88-4873-A77E-ED44EBA65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58" name="Picture 746" descr="spacer">
          <a:extLst>
            <a:ext uri="{FF2B5EF4-FFF2-40B4-BE49-F238E27FC236}">
              <a16:creationId xmlns:a16="http://schemas.microsoft.com/office/drawing/2014/main" id="{8B4BE066-544E-40CC-BDBC-C453F44F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59" name="Picture 747" descr="spacer">
          <a:extLst>
            <a:ext uri="{FF2B5EF4-FFF2-40B4-BE49-F238E27FC236}">
              <a16:creationId xmlns:a16="http://schemas.microsoft.com/office/drawing/2014/main" id="{867D29E3-9D27-4716-ABB5-32ADB68F9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60" name="Picture 748" descr="spacer">
          <a:extLst>
            <a:ext uri="{FF2B5EF4-FFF2-40B4-BE49-F238E27FC236}">
              <a16:creationId xmlns:a16="http://schemas.microsoft.com/office/drawing/2014/main" id="{0BD338FA-D6BF-4B5C-A16F-4995C4961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61" name="Picture 749" descr="spacer">
          <a:extLst>
            <a:ext uri="{FF2B5EF4-FFF2-40B4-BE49-F238E27FC236}">
              <a16:creationId xmlns:a16="http://schemas.microsoft.com/office/drawing/2014/main" id="{45FC2EA4-D2AA-47D9-8A43-59854058D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62" name="Picture 750" descr="spacer">
          <a:extLst>
            <a:ext uri="{FF2B5EF4-FFF2-40B4-BE49-F238E27FC236}">
              <a16:creationId xmlns:a16="http://schemas.microsoft.com/office/drawing/2014/main" id="{27120CEC-7CF8-481A-9923-6115849B9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63" name="Picture 751" descr="spacer">
          <a:extLst>
            <a:ext uri="{FF2B5EF4-FFF2-40B4-BE49-F238E27FC236}">
              <a16:creationId xmlns:a16="http://schemas.microsoft.com/office/drawing/2014/main" id="{37CB2E19-AEB1-4DB9-A32D-6C62AA341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64" name="Picture 752" descr="spacer">
          <a:extLst>
            <a:ext uri="{FF2B5EF4-FFF2-40B4-BE49-F238E27FC236}">
              <a16:creationId xmlns:a16="http://schemas.microsoft.com/office/drawing/2014/main" id="{DA44E2D7-72F7-40BF-A207-30251E0B8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65" name="Picture 753" descr="spacer">
          <a:extLst>
            <a:ext uri="{FF2B5EF4-FFF2-40B4-BE49-F238E27FC236}">
              <a16:creationId xmlns:a16="http://schemas.microsoft.com/office/drawing/2014/main" id="{6A793796-84E5-45FB-95C8-AEF7A15E2F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966" name="Picture 756" descr="spacer">
          <a:extLst>
            <a:ext uri="{FF2B5EF4-FFF2-40B4-BE49-F238E27FC236}">
              <a16:creationId xmlns:a16="http://schemas.microsoft.com/office/drawing/2014/main" id="{C4DE3128-153F-44B2-B45E-6B7CB7D756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67" name="Picture 758" descr="spacer">
          <a:extLst>
            <a:ext uri="{FF2B5EF4-FFF2-40B4-BE49-F238E27FC236}">
              <a16:creationId xmlns:a16="http://schemas.microsoft.com/office/drawing/2014/main" id="{A582EAC4-46BD-44E1-A2BD-1406B6D56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68" name="Picture 759" descr="spacer">
          <a:extLst>
            <a:ext uri="{FF2B5EF4-FFF2-40B4-BE49-F238E27FC236}">
              <a16:creationId xmlns:a16="http://schemas.microsoft.com/office/drawing/2014/main" id="{AFD2DC8C-5225-40F4-A2F3-547C90813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69" name="Picture 760" descr="spacer">
          <a:extLst>
            <a:ext uri="{FF2B5EF4-FFF2-40B4-BE49-F238E27FC236}">
              <a16:creationId xmlns:a16="http://schemas.microsoft.com/office/drawing/2014/main" id="{5BC15115-0BBF-4CD2-9B5C-35CCE2A12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70" name="Picture 761" descr="spacer">
          <a:extLst>
            <a:ext uri="{FF2B5EF4-FFF2-40B4-BE49-F238E27FC236}">
              <a16:creationId xmlns:a16="http://schemas.microsoft.com/office/drawing/2014/main" id="{C9ABED89-3FBD-4165-B394-1A1A0FF4E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71" name="Picture 762" descr="spacer">
          <a:extLst>
            <a:ext uri="{FF2B5EF4-FFF2-40B4-BE49-F238E27FC236}">
              <a16:creationId xmlns:a16="http://schemas.microsoft.com/office/drawing/2014/main" id="{D14FF5B1-6F38-48C4-A9BC-6CB24C186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72" name="Picture 763" descr="spacer">
          <a:extLst>
            <a:ext uri="{FF2B5EF4-FFF2-40B4-BE49-F238E27FC236}">
              <a16:creationId xmlns:a16="http://schemas.microsoft.com/office/drawing/2014/main" id="{4817F877-B236-4E60-ADD2-0B65C4A16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73" name="Picture 764" descr="spacer">
          <a:extLst>
            <a:ext uri="{FF2B5EF4-FFF2-40B4-BE49-F238E27FC236}">
              <a16:creationId xmlns:a16="http://schemas.microsoft.com/office/drawing/2014/main" id="{30C5FF60-84E1-4019-8B64-EB52D4EB2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74" name="Picture 765" descr="spacer">
          <a:extLst>
            <a:ext uri="{FF2B5EF4-FFF2-40B4-BE49-F238E27FC236}">
              <a16:creationId xmlns:a16="http://schemas.microsoft.com/office/drawing/2014/main" id="{A6DF7362-C587-4214-95EB-1442EDF1D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75" name="Picture 766" descr="spacer">
          <a:extLst>
            <a:ext uri="{FF2B5EF4-FFF2-40B4-BE49-F238E27FC236}">
              <a16:creationId xmlns:a16="http://schemas.microsoft.com/office/drawing/2014/main" id="{54C6F95D-E744-4314-A699-5EF4F9A4D6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76" name="Picture 767" descr="spacer">
          <a:extLst>
            <a:ext uri="{FF2B5EF4-FFF2-40B4-BE49-F238E27FC236}">
              <a16:creationId xmlns:a16="http://schemas.microsoft.com/office/drawing/2014/main" id="{461BEDF5-E0B9-4F8F-AC60-D2D9EF921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77" name="Picture 768" descr="spacer">
          <a:extLst>
            <a:ext uri="{FF2B5EF4-FFF2-40B4-BE49-F238E27FC236}">
              <a16:creationId xmlns:a16="http://schemas.microsoft.com/office/drawing/2014/main" id="{72F59832-F3A2-4BD5-BAF5-655C114D2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78" name="Picture 769" descr="spacer">
          <a:extLst>
            <a:ext uri="{FF2B5EF4-FFF2-40B4-BE49-F238E27FC236}">
              <a16:creationId xmlns:a16="http://schemas.microsoft.com/office/drawing/2014/main" id="{B363B6B3-F55F-4295-9CE6-F577CAD53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79" name="Picture 770" descr="spacer">
          <a:extLst>
            <a:ext uri="{FF2B5EF4-FFF2-40B4-BE49-F238E27FC236}">
              <a16:creationId xmlns:a16="http://schemas.microsoft.com/office/drawing/2014/main" id="{1DD0358B-D213-415D-9F1B-A724B5F35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980" name="Picture 773" descr="spacer">
          <a:extLst>
            <a:ext uri="{FF2B5EF4-FFF2-40B4-BE49-F238E27FC236}">
              <a16:creationId xmlns:a16="http://schemas.microsoft.com/office/drawing/2014/main" id="{029414C9-0A3C-4499-B1C2-84C7A445A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81" name="Picture 775" descr="spacer">
          <a:extLst>
            <a:ext uri="{FF2B5EF4-FFF2-40B4-BE49-F238E27FC236}">
              <a16:creationId xmlns:a16="http://schemas.microsoft.com/office/drawing/2014/main" id="{CF11740D-AD63-4E6C-87A6-036242B7E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82" name="Picture 776" descr="spacer">
          <a:extLst>
            <a:ext uri="{FF2B5EF4-FFF2-40B4-BE49-F238E27FC236}">
              <a16:creationId xmlns:a16="http://schemas.microsoft.com/office/drawing/2014/main" id="{C55EC4D4-F51B-4392-B642-DE427D867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83" name="Picture 777" descr="spacer">
          <a:extLst>
            <a:ext uri="{FF2B5EF4-FFF2-40B4-BE49-F238E27FC236}">
              <a16:creationId xmlns:a16="http://schemas.microsoft.com/office/drawing/2014/main" id="{227A0678-721A-4242-B739-3AB28D1A8A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84" name="Picture 778" descr="spacer">
          <a:extLst>
            <a:ext uri="{FF2B5EF4-FFF2-40B4-BE49-F238E27FC236}">
              <a16:creationId xmlns:a16="http://schemas.microsoft.com/office/drawing/2014/main" id="{D2283F6E-3A96-4AC9-9BCF-28198312F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85" name="Picture 779" descr="spacer">
          <a:extLst>
            <a:ext uri="{FF2B5EF4-FFF2-40B4-BE49-F238E27FC236}">
              <a16:creationId xmlns:a16="http://schemas.microsoft.com/office/drawing/2014/main" id="{6FEF5510-E0CF-4271-9198-DF435779AA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86" name="Picture 780" descr="spacer">
          <a:extLst>
            <a:ext uri="{FF2B5EF4-FFF2-40B4-BE49-F238E27FC236}">
              <a16:creationId xmlns:a16="http://schemas.microsoft.com/office/drawing/2014/main" id="{779B46E7-BA24-4F7A-A128-BF0C7E033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87" name="Picture 781" descr="spacer">
          <a:extLst>
            <a:ext uri="{FF2B5EF4-FFF2-40B4-BE49-F238E27FC236}">
              <a16:creationId xmlns:a16="http://schemas.microsoft.com/office/drawing/2014/main" id="{12472CAC-FACF-410A-A88D-9D26D3BEA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88" name="Picture 782" descr="spacer">
          <a:extLst>
            <a:ext uri="{FF2B5EF4-FFF2-40B4-BE49-F238E27FC236}">
              <a16:creationId xmlns:a16="http://schemas.microsoft.com/office/drawing/2014/main" id="{FB78BAF8-E4D0-4AA7-B082-4DAD9E9E8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89" name="Picture 783" descr="spacer">
          <a:extLst>
            <a:ext uri="{FF2B5EF4-FFF2-40B4-BE49-F238E27FC236}">
              <a16:creationId xmlns:a16="http://schemas.microsoft.com/office/drawing/2014/main" id="{64B8AEF1-0AD7-4921-AECE-8A7991BA4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90" name="Picture 784" descr="spacer">
          <a:extLst>
            <a:ext uri="{FF2B5EF4-FFF2-40B4-BE49-F238E27FC236}">
              <a16:creationId xmlns:a16="http://schemas.microsoft.com/office/drawing/2014/main" id="{8FC6EE2D-E69E-4804-A84F-A78892634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91" name="Picture 785" descr="spacer">
          <a:extLst>
            <a:ext uri="{FF2B5EF4-FFF2-40B4-BE49-F238E27FC236}">
              <a16:creationId xmlns:a16="http://schemas.microsoft.com/office/drawing/2014/main" id="{047460F0-1F49-45F5-9BDA-62B1B755D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92" name="Picture 786" descr="spacer">
          <a:extLst>
            <a:ext uri="{FF2B5EF4-FFF2-40B4-BE49-F238E27FC236}">
              <a16:creationId xmlns:a16="http://schemas.microsoft.com/office/drawing/2014/main" id="{050F844F-9C21-4FFA-BBE6-5CB6A94BE7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93" name="Picture 787" descr="spacer">
          <a:extLst>
            <a:ext uri="{FF2B5EF4-FFF2-40B4-BE49-F238E27FC236}">
              <a16:creationId xmlns:a16="http://schemas.microsoft.com/office/drawing/2014/main" id="{0D30574C-4EA9-4746-BC91-7360F9BC9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994" name="Picture 790" descr="spacer">
          <a:extLst>
            <a:ext uri="{FF2B5EF4-FFF2-40B4-BE49-F238E27FC236}">
              <a16:creationId xmlns:a16="http://schemas.microsoft.com/office/drawing/2014/main" id="{D5BDBAB8-43C8-4F65-A968-973B59860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95" name="Picture 792" descr="spacer">
          <a:extLst>
            <a:ext uri="{FF2B5EF4-FFF2-40B4-BE49-F238E27FC236}">
              <a16:creationId xmlns:a16="http://schemas.microsoft.com/office/drawing/2014/main" id="{C7A9D231-1C21-4487-A1FF-A04835AB6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96" name="Picture 793" descr="spacer">
          <a:extLst>
            <a:ext uri="{FF2B5EF4-FFF2-40B4-BE49-F238E27FC236}">
              <a16:creationId xmlns:a16="http://schemas.microsoft.com/office/drawing/2014/main" id="{0FEA2C98-6CFB-409E-8A9F-F90572765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97" name="Picture 794" descr="spacer">
          <a:extLst>
            <a:ext uri="{FF2B5EF4-FFF2-40B4-BE49-F238E27FC236}">
              <a16:creationId xmlns:a16="http://schemas.microsoft.com/office/drawing/2014/main" id="{9BDD8A7E-0CCF-4D42-B164-B69E34EB1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98" name="Picture 795" descr="spacer">
          <a:extLst>
            <a:ext uri="{FF2B5EF4-FFF2-40B4-BE49-F238E27FC236}">
              <a16:creationId xmlns:a16="http://schemas.microsoft.com/office/drawing/2014/main" id="{1AFA6298-A1D4-4E5A-8D31-264A308DB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999" name="Picture 796" descr="spacer">
          <a:extLst>
            <a:ext uri="{FF2B5EF4-FFF2-40B4-BE49-F238E27FC236}">
              <a16:creationId xmlns:a16="http://schemas.microsoft.com/office/drawing/2014/main" id="{C5963850-A4E5-4363-9B47-D29289F85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00" name="Picture 797" descr="spacer">
          <a:extLst>
            <a:ext uri="{FF2B5EF4-FFF2-40B4-BE49-F238E27FC236}">
              <a16:creationId xmlns:a16="http://schemas.microsoft.com/office/drawing/2014/main" id="{DC14C0B0-5080-4D7E-A740-CC2DE7674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01" name="Picture 798" descr="spacer">
          <a:extLst>
            <a:ext uri="{FF2B5EF4-FFF2-40B4-BE49-F238E27FC236}">
              <a16:creationId xmlns:a16="http://schemas.microsoft.com/office/drawing/2014/main" id="{919CECD9-07EB-4319-BB40-A51FC7CB0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02" name="Picture 799" descr="spacer">
          <a:extLst>
            <a:ext uri="{FF2B5EF4-FFF2-40B4-BE49-F238E27FC236}">
              <a16:creationId xmlns:a16="http://schemas.microsoft.com/office/drawing/2014/main" id="{B260D4F6-29C1-42CF-9C74-D83AF8F29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03" name="Picture 800" descr="spacer">
          <a:extLst>
            <a:ext uri="{FF2B5EF4-FFF2-40B4-BE49-F238E27FC236}">
              <a16:creationId xmlns:a16="http://schemas.microsoft.com/office/drawing/2014/main" id="{9AA0170F-A7F3-40C5-B403-A9EAD6BDD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04" name="Picture 801" descr="spacer">
          <a:extLst>
            <a:ext uri="{FF2B5EF4-FFF2-40B4-BE49-F238E27FC236}">
              <a16:creationId xmlns:a16="http://schemas.microsoft.com/office/drawing/2014/main" id="{0C020CB8-A6C2-4185-BEA1-FD90823CFC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05" name="Picture 802" descr="spacer">
          <a:extLst>
            <a:ext uri="{FF2B5EF4-FFF2-40B4-BE49-F238E27FC236}">
              <a16:creationId xmlns:a16="http://schemas.microsoft.com/office/drawing/2014/main" id="{BE81C84F-5036-436D-8CAD-BCFCB469A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06" name="Picture 803" descr="spacer">
          <a:extLst>
            <a:ext uri="{FF2B5EF4-FFF2-40B4-BE49-F238E27FC236}">
              <a16:creationId xmlns:a16="http://schemas.microsoft.com/office/drawing/2014/main" id="{82C78E3B-DCC4-42D5-AD5E-059A38729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07" name="Picture 804" descr="spacer">
          <a:extLst>
            <a:ext uri="{FF2B5EF4-FFF2-40B4-BE49-F238E27FC236}">
              <a16:creationId xmlns:a16="http://schemas.microsoft.com/office/drawing/2014/main" id="{2E56D258-306C-4A5B-866D-34224A1799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08" name="Picture 805" descr="spacer">
          <a:extLst>
            <a:ext uri="{FF2B5EF4-FFF2-40B4-BE49-F238E27FC236}">
              <a16:creationId xmlns:a16="http://schemas.microsoft.com/office/drawing/2014/main" id="{92292850-8E6A-4757-B0C1-3FB93A764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009" name="Picture 808" descr="spacer">
          <a:extLst>
            <a:ext uri="{FF2B5EF4-FFF2-40B4-BE49-F238E27FC236}">
              <a16:creationId xmlns:a16="http://schemas.microsoft.com/office/drawing/2014/main" id="{23AE94FA-ABA2-4572-B8D7-DB692FE3E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10" name="Picture 810" descr="spacer">
          <a:extLst>
            <a:ext uri="{FF2B5EF4-FFF2-40B4-BE49-F238E27FC236}">
              <a16:creationId xmlns:a16="http://schemas.microsoft.com/office/drawing/2014/main" id="{77DF046F-A5DF-465E-BEBB-F79C447B2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11" name="Picture 811" descr="spacer">
          <a:extLst>
            <a:ext uri="{FF2B5EF4-FFF2-40B4-BE49-F238E27FC236}">
              <a16:creationId xmlns:a16="http://schemas.microsoft.com/office/drawing/2014/main" id="{8FCDD68C-73CA-40D2-A7E7-3DF6C8CC9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12" name="Picture 812" descr="spacer">
          <a:extLst>
            <a:ext uri="{FF2B5EF4-FFF2-40B4-BE49-F238E27FC236}">
              <a16:creationId xmlns:a16="http://schemas.microsoft.com/office/drawing/2014/main" id="{1429E6EA-B0E9-4347-B822-0EDF19039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13" name="Picture 813" descr="spacer">
          <a:extLst>
            <a:ext uri="{FF2B5EF4-FFF2-40B4-BE49-F238E27FC236}">
              <a16:creationId xmlns:a16="http://schemas.microsoft.com/office/drawing/2014/main" id="{ED792F21-81B3-4C0F-B623-A01910273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14" name="Picture 814" descr="spacer">
          <a:extLst>
            <a:ext uri="{FF2B5EF4-FFF2-40B4-BE49-F238E27FC236}">
              <a16:creationId xmlns:a16="http://schemas.microsoft.com/office/drawing/2014/main" id="{DB57745D-0B44-471A-8DE2-636EC547A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15" name="Picture 815" descr="spacer">
          <a:extLst>
            <a:ext uri="{FF2B5EF4-FFF2-40B4-BE49-F238E27FC236}">
              <a16:creationId xmlns:a16="http://schemas.microsoft.com/office/drawing/2014/main" id="{802F9CE7-6451-4ADD-82AA-3D8C49E7B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16" name="Picture 816" descr="spacer">
          <a:extLst>
            <a:ext uri="{FF2B5EF4-FFF2-40B4-BE49-F238E27FC236}">
              <a16:creationId xmlns:a16="http://schemas.microsoft.com/office/drawing/2014/main" id="{BD3E3CCA-49F2-42FE-8998-6E31F91FF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17" name="Picture 817" descr="spacer">
          <a:extLst>
            <a:ext uri="{FF2B5EF4-FFF2-40B4-BE49-F238E27FC236}">
              <a16:creationId xmlns:a16="http://schemas.microsoft.com/office/drawing/2014/main" id="{31296AB1-2396-44AB-8C09-01F3497F6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18" name="Picture 818" descr="spacer">
          <a:extLst>
            <a:ext uri="{FF2B5EF4-FFF2-40B4-BE49-F238E27FC236}">
              <a16:creationId xmlns:a16="http://schemas.microsoft.com/office/drawing/2014/main" id="{7872B4E7-2098-4288-8846-0038ED781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19" name="Picture 819" descr="spacer">
          <a:extLst>
            <a:ext uri="{FF2B5EF4-FFF2-40B4-BE49-F238E27FC236}">
              <a16:creationId xmlns:a16="http://schemas.microsoft.com/office/drawing/2014/main" id="{0924A6CC-E915-48F1-B246-CCF81F649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20" name="Picture 820" descr="spacer">
          <a:extLst>
            <a:ext uri="{FF2B5EF4-FFF2-40B4-BE49-F238E27FC236}">
              <a16:creationId xmlns:a16="http://schemas.microsoft.com/office/drawing/2014/main" id="{20490AE0-3056-432D-9B47-9BF302489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21" name="Picture 821" descr="spacer">
          <a:extLst>
            <a:ext uri="{FF2B5EF4-FFF2-40B4-BE49-F238E27FC236}">
              <a16:creationId xmlns:a16="http://schemas.microsoft.com/office/drawing/2014/main" id="{101FCA86-E1E0-437F-8749-A9B9FE4D1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22" name="Picture 822" descr="spacer">
          <a:extLst>
            <a:ext uri="{FF2B5EF4-FFF2-40B4-BE49-F238E27FC236}">
              <a16:creationId xmlns:a16="http://schemas.microsoft.com/office/drawing/2014/main" id="{5ADFAFA1-0C77-4F61-82D6-CC30AB72D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23" name="Picture 823" descr="spacer">
          <a:extLst>
            <a:ext uri="{FF2B5EF4-FFF2-40B4-BE49-F238E27FC236}">
              <a16:creationId xmlns:a16="http://schemas.microsoft.com/office/drawing/2014/main" id="{45F2AB34-9F6D-4493-B368-3C2AE1F07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024" name="Picture 826" descr="spacer">
          <a:extLst>
            <a:ext uri="{FF2B5EF4-FFF2-40B4-BE49-F238E27FC236}">
              <a16:creationId xmlns:a16="http://schemas.microsoft.com/office/drawing/2014/main" id="{E21EED29-7DC6-4825-A676-6276DDC41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25" name="Picture 828" descr="spacer">
          <a:extLst>
            <a:ext uri="{FF2B5EF4-FFF2-40B4-BE49-F238E27FC236}">
              <a16:creationId xmlns:a16="http://schemas.microsoft.com/office/drawing/2014/main" id="{9F285A36-2694-4FCD-B71F-7ADAFEA6F0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26" name="Picture 829" descr="spacer">
          <a:extLst>
            <a:ext uri="{FF2B5EF4-FFF2-40B4-BE49-F238E27FC236}">
              <a16:creationId xmlns:a16="http://schemas.microsoft.com/office/drawing/2014/main" id="{0F3AF5E3-FB58-44D9-BA0E-9B5F3A741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27" name="Picture 830" descr="spacer">
          <a:extLst>
            <a:ext uri="{FF2B5EF4-FFF2-40B4-BE49-F238E27FC236}">
              <a16:creationId xmlns:a16="http://schemas.microsoft.com/office/drawing/2014/main" id="{7F78E6E6-A245-49A0-9A91-D4D42D433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28" name="Picture 831" descr="spacer">
          <a:extLst>
            <a:ext uri="{FF2B5EF4-FFF2-40B4-BE49-F238E27FC236}">
              <a16:creationId xmlns:a16="http://schemas.microsoft.com/office/drawing/2014/main" id="{3B2C7653-1726-4E3E-AAA6-46A10993E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29" name="Picture 832" descr="spacer">
          <a:extLst>
            <a:ext uri="{FF2B5EF4-FFF2-40B4-BE49-F238E27FC236}">
              <a16:creationId xmlns:a16="http://schemas.microsoft.com/office/drawing/2014/main" id="{9065EDF0-226E-430D-8899-5EF18589E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30" name="Picture 833" descr="spacer">
          <a:extLst>
            <a:ext uri="{FF2B5EF4-FFF2-40B4-BE49-F238E27FC236}">
              <a16:creationId xmlns:a16="http://schemas.microsoft.com/office/drawing/2014/main" id="{EA36B9E8-AA3E-4C78-AD33-7EFDA3A5D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31" name="Picture 834" descr="spacer">
          <a:extLst>
            <a:ext uri="{FF2B5EF4-FFF2-40B4-BE49-F238E27FC236}">
              <a16:creationId xmlns:a16="http://schemas.microsoft.com/office/drawing/2014/main" id="{7EFE3C06-B998-4FDB-8663-C28D7AF35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32" name="Picture 835" descr="spacer">
          <a:extLst>
            <a:ext uri="{FF2B5EF4-FFF2-40B4-BE49-F238E27FC236}">
              <a16:creationId xmlns:a16="http://schemas.microsoft.com/office/drawing/2014/main" id="{E4DE26CB-B30C-492D-BDA5-D7CCD0453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33" name="Picture 836" descr="spacer">
          <a:extLst>
            <a:ext uri="{FF2B5EF4-FFF2-40B4-BE49-F238E27FC236}">
              <a16:creationId xmlns:a16="http://schemas.microsoft.com/office/drawing/2014/main" id="{916ECEAF-F5FF-4330-8C81-6F4A380AC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34" name="Picture 837" descr="spacer">
          <a:extLst>
            <a:ext uri="{FF2B5EF4-FFF2-40B4-BE49-F238E27FC236}">
              <a16:creationId xmlns:a16="http://schemas.microsoft.com/office/drawing/2014/main" id="{4C6374C0-DEA7-43B0-A390-3CD626DBC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35" name="Picture 838" descr="spacer">
          <a:extLst>
            <a:ext uri="{FF2B5EF4-FFF2-40B4-BE49-F238E27FC236}">
              <a16:creationId xmlns:a16="http://schemas.microsoft.com/office/drawing/2014/main" id="{1ADA2D08-7AA1-4852-B210-B08FE69D9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36" name="Picture 839" descr="spacer">
          <a:extLst>
            <a:ext uri="{FF2B5EF4-FFF2-40B4-BE49-F238E27FC236}">
              <a16:creationId xmlns:a16="http://schemas.microsoft.com/office/drawing/2014/main" id="{BC47B3CD-BB8A-400C-8628-03F88981D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37" name="Picture 840" descr="spacer">
          <a:extLst>
            <a:ext uri="{FF2B5EF4-FFF2-40B4-BE49-F238E27FC236}">
              <a16:creationId xmlns:a16="http://schemas.microsoft.com/office/drawing/2014/main" id="{70FB2781-50A3-40E2-874E-DAF1031A9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38" name="Picture 841" descr="spacer">
          <a:extLst>
            <a:ext uri="{FF2B5EF4-FFF2-40B4-BE49-F238E27FC236}">
              <a16:creationId xmlns:a16="http://schemas.microsoft.com/office/drawing/2014/main" id="{76831241-A491-442D-8430-160E50462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039" name="Picture 844" descr="spacer">
          <a:extLst>
            <a:ext uri="{FF2B5EF4-FFF2-40B4-BE49-F238E27FC236}">
              <a16:creationId xmlns:a16="http://schemas.microsoft.com/office/drawing/2014/main" id="{12B8504E-156B-4450-9250-21180C868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40" name="Picture 846" descr="spacer">
          <a:extLst>
            <a:ext uri="{FF2B5EF4-FFF2-40B4-BE49-F238E27FC236}">
              <a16:creationId xmlns:a16="http://schemas.microsoft.com/office/drawing/2014/main" id="{3B0B7328-CE20-41BF-B350-0175436FC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41" name="Picture 847" descr="spacer">
          <a:extLst>
            <a:ext uri="{FF2B5EF4-FFF2-40B4-BE49-F238E27FC236}">
              <a16:creationId xmlns:a16="http://schemas.microsoft.com/office/drawing/2014/main" id="{43775CA2-3D5F-4503-936D-6DA660786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42" name="Picture 848" descr="spacer">
          <a:extLst>
            <a:ext uri="{FF2B5EF4-FFF2-40B4-BE49-F238E27FC236}">
              <a16:creationId xmlns:a16="http://schemas.microsoft.com/office/drawing/2014/main" id="{22191EB8-205D-46A7-BBF0-440AB77EE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43" name="Picture 849" descr="spacer">
          <a:extLst>
            <a:ext uri="{FF2B5EF4-FFF2-40B4-BE49-F238E27FC236}">
              <a16:creationId xmlns:a16="http://schemas.microsoft.com/office/drawing/2014/main" id="{569853A8-FA3F-46D5-BB92-FECFD2D8F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44" name="Picture 850" descr="spacer">
          <a:extLst>
            <a:ext uri="{FF2B5EF4-FFF2-40B4-BE49-F238E27FC236}">
              <a16:creationId xmlns:a16="http://schemas.microsoft.com/office/drawing/2014/main" id="{5EBF5AD4-27B7-4AAD-A3FE-F4690EE48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45" name="Picture 851" descr="spacer">
          <a:extLst>
            <a:ext uri="{FF2B5EF4-FFF2-40B4-BE49-F238E27FC236}">
              <a16:creationId xmlns:a16="http://schemas.microsoft.com/office/drawing/2014/main" id="{F5A9C4D6-ADF5-404E-919D-67F3B467D4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46" name="Picture 852" descr="spacer">
          <a:extLst>
            <a:ext uri="{FF2B5EF4-FFF2-40B4-BE49-F238E27FC236}">
              <a16:creationId xmlns:a16="http://schemas.microsoft.com/office/drawing/2014/main" id="{8FD37FEC-B29B-4109-8AA9-1E3CBE6DB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47" name="Picture 853" descr="spacer">
          <a:extLst>
            <a:ext uri="{FF2B5EF4-FFF2-40B4-BE49-F238E27FC236}">
              <a16:creationId xmlns:a16="http://schemas.microsoft.com/office/drawing/2014/main" id="{228E081C-745C-4CE4-855F-5E5B1C519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48" name="Picture 854" descr="spacer">
          <a:extLst>
            <a:ext uri="{FF2B5EF4-FFF2-40B4-BE49-F238E27FC236}">
              <a16:creationId xmlns:a16="http://schemas.microsoft.com/office/drawing/2014/main" id="{51EF6696-324A-482F-9891-94B285C3E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49" name="Picture 855" descr="spacer">
          <a:extLst>
            <a:ext uri="{FF2B5EF4-FFF2-40B4-BE49-F238E27FC236}">
              <a16:creationId xmlns:a16="http://schemas.microsoft.com/office/drawing/2014/main" id="{0678C593-FC46-430C-8FF8-D432B118F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50" name="Picture 856" descr="spacer">
          <a:extLst>
            <a:ext uri="{FF2B5EF4-FFF2-40B4-BE49-F238E27FC236}">
              <a16:creationId xmlns:a16="http://schemas.microsoft.com/office/drawing/2014/main" id="{B09C375C-64DF-4351-8208-FA0E40D93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51" name="Picture 857" descr="spacer">
          <a:extLst>
            <a:ext uri="{FF2B5EF4-FFF2-40B4-BE49-F238E27FC236}">
              <a16:creationId xmlns:a16="http://schemas.microsoft.com/office/drawing/2014/main" id="{B88DC012-EF31-4CB2-898E-21C61EC6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52" name="Picture 858" descr="spacer">
          <a:extLst>
            <a:ext uri="{FF2B5EF4-FFF2-40B4-BE49-F238E27FC236}">
              <a16:creationId xmlns:a16="http://schemas.microsoft.com/office/drawing/2014/main" id="{9E384D0F-9F28-4E06-811F-0EB6BC0470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53" name="Picture 859" descr="spacer">
          <a:extLst>
            <a:ext uri="{FF2B5EF4-FFF2-40B4-BE49-F238E27FC236}">
              <a16:creationId xmlns:a16="http://schemas.microsoft.com/office/drawing/2014/main" id="{EEC428B1-FFC6-4E71-9552-AE3EA8FBB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054" name="Picture 862" descr="spacer">
          <a:extLst>
            <a:ext uri="{FF2B5EF4-FFF2-40B4-BE49-F238E27FC236}">
              <a16:creationId xmlns:a16="http://schemas.microsoft.com/office/drawing/2014/main" id="{44A26FE5-CEA9-4A3E-A9BE-BB5DE7277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55" name="Picture 864" descr="spacer">
          <a:extLst>
            <a:ext uri="{FF2B5EF4-FFF2-40B4-BE49-F238E27FC236}">
              <a16:creationId xmlns:a16="http://schemas.microsoft.com/office/drawing/2014/main" id="{47F2CF94-E22E-4FC3-ADE4-AC52F0C83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56" name="Picture 865" descr="spacer">
          <a:extLst>
            <a:ext uri="{FF2B5EF4-FFF2-40B4-BE49-F238E27FC236}">
              <a16:creationId xmlns:a16="http://schemas.microsoft.com/office/drawing/2014/main" id="{B7FBE6A6-3BB4-4A99-9228-C6A63335A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57" name="Picture 866" descr="spacer">
          <a:extLst>
            <a:ext uri="{FF2B5EF4-FFF2-40B4-BE49-F238E27FC236}">
              <a16:creationId xmlns:a16="http://schemas.microsoft.com/office/drawing/2014/main" id="{CDC875A1-D3BC-44D8-B4D6-BFBC781BD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58" name="Picture 867" descr="spacer">
          <a:extLst>
            <a:ext uri="{FF2B5EF4-FFF2-40B4-BE49-F238E27FC236}">
              <a16:creationId xmlns:a16="http://schemas.microsoft.com/office/drawing/2014/main" id="{514922D2-29C5-46DA-AAAC-370931337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59" name="Picture 868" descr="spacer">
          <a:extLst>
            <a:ext uri="{FF2B5EF4-FFF2-40B4-BE49-F238E27FC236}">
              <a16:creationId xmlns:a16="http://schemas.microsoft.com/office/drawing/2014/main" id="{94BECAEB-00AA-45B7-B90C-EB3C8EA92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60" name="Picture 869" descr="spacer">
          <a:extLst>
            <a:ext uri="{FF2B5EF4-FFF2-40B4-BE49-F238E27FC236}">
              <a16:creationId xmlns:a16="http://schemas.microsoft.com/office/drawing/2014/main" id="{BCE1CF0D-B9ED-49D9-AE5A-DCE7616E9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61" name="Picture 870" descr="spacer">
          <a:extLst>
            <a:ext uri="{FF2B5EF4-FFF2-40B4-BE49-F238E27FC236}">
              <a16:creationId xmlns:a16="http://schemas.microsoft.com/office/drawing/2014/main" id="{0CECE9E5-9E61-4E18-8295-7F5DDF2AC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62" name="Picture 871" descr="spacer">
          <a:extLst>
            <a:ext uri="{FF2B5EF4-FFF2-40B4-BE49-F238E27FC236}">
              <a16:creationId xmlns:a16="http://schemas.microsoft.com/office/drawing/2014/main" id="{F7300497-29E6-4120-BCC6-DB62D4E3A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63" name="Picture 872" descr="spacer">
          <a:extLst>
            <a:ext uri="{FF2B5EF4-FFF2-40B4-BE49-F238E27FC236}">
              <a16:creationId xmlns:a16="http://schemas.microsoft.com/office/drawing/2014/main" id="{625B8F3C-DF00-4783-9EBF-193CC5437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64" name="Picture 873" descr="spacer">
          <a:extLst>
            <a:ext uri="{FF2B5EF4-FFF2-40B4-BE49-F238E27FC236}">
              <a16:creationId xmlns:a16="http://schemas.microsoft.com/office/drawing/2014/main" id="{589892CD-7F88-4563-BD1C-0D75DB5F7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65" name="Picture 874" descr="spacer">
          <a:extLst>
            <a:ext uri="{FF2B5EF4-FFF2-40B4-BE49-F238E27FC236}">
              <a16:creationId xmlns:a16="http://schemas.microsoft.com/office/drawing/2014/main" id="{6937D4BB-A609-48AC-804B-C7EA9C45B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66" name="Picture 875" descr="spacer">
          <a:extLst>
            <a:ext uri="{FF2B5EF4-FFF2-40B4-BE49-F238E27FC236}">
              <a16:creationId xmlns:a16="http://schemas.microsoft.com/office/drawing/2014/main" id="{8C3A7B4C-BF55-434D-8AF3-552CA852F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67" name="Picture 876" descr="spacer">
          <a:extLst>
            <a:ext uri="{FF2B5EF4-FFF2-40B4-BE49-F238E27FC236}">
              <a16:creationId xmlns:a16="http://schemas.microsoft.com/office/drawing/2014/main" id="{F35AD3FC-8614-4067-A0F2-01B69FCD29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68" name="Picture 877" descr="spacer">
          <a:extLst>
            <a:ext uri="{FF2B5EF4-FFF2-40B4-BE49-F238E27FC236}">
              <a16:creationId xmlns:a16="http://schemas.microsoft.com/office/drawing/2014/main" id="{CBB65C4B-73C5-4F0B-8FA5-9095D221A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069" name="Picture 880" descr="spacer">
          <a:extLst>
            <a:ext uri="{FF2B5EF4-FFF2-40B4-BE49-F238E27FC236}">
              <a16:creationId xmlns:a16="http://schemas.microsoft.com/office/drawing/2014/main" id="{635887B1-3160-45F7-946C-CF7D77F25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70" name="Picture 882" descr="spacer">
          <a:extLst>
            <a:ext uri="{FF2B5EF4-FFF2-40B4-BE49-F238E27FC236}">
              <a16:creationId xmlns:a16="http://schemas.microsoft.com/office/drawing/2014/main" id="{70BBB835-5FAC-413A-A9DC-8B8DC981C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71" name="Picture 883" descr="spacer">
          <a:extLst>
            <a:ext uri="{FF2B5EF4-FFF2-40B4-BE49-F238E27FC236}">
              <a16:creationId xmlns:a16="http://schemas.microsoft.com/office/drawing/2014/main" id="{15793082-8CF4-4E2E-983B-5515949525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72" name="Picture 884" descr="spacer">
          <a:extLst>
            <a:ext uri="{FF2B5EF4-FFF2-40B4-BE49-F238E27FC236}">
              <a16:creationId xmlns:a16="http://schemas.microsoft.com/office/drawing/2014/main" id="{2AD4281C-10F5-48C6-B36C-BFD87BCCA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73" name="Picture 885" descr="spacer">
          <a:extLst>
            <a:ext uri="{FF2B5EF4-FFF2-40B4-BE49-F238E27FC236}">
              <a16:creationId xmlns:a16="http://schemas.microsoft.com/office/drawing/2014/main" id="{C60898F7-52DB-43F3-BF35-11613ED9C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74" name="Picture 886" descr="spacer">
          <a:extLst>
            <a:ext uri="{FF2B5EF4-FFF2-40B4-BE49-F238E27FC236}">
              <a16:creationId xmlns:a16="http://schemas.microsoft.com/office/drawing/2014/main" id="{B1A2E7D4-7781-4DE5-AF65-F8957B132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75" name="Picture 887" descr="spacer">
          <a:extLst>
            <a:ext uri="{FF2B5EF4-FFF2-40B4-BE49-F238E27FC236}">
              <a16:creationId xmlns:a16="http://schemas.microsoft.com/office/drawing/2014/main" id="{F159B822-9987-48A7-979C-AA355DFBD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76" name="Picture 888" descr="spacer">
          <a:extLst>
            <a:ext uri="{FF2B5EF4-FFF2-40B4-BE49-F238E27FC236}">
              <a16:creationId xmlns:a16="http://schemas.microsoft.com/office/drawing/2014/main" id="{03B2B897-EFA4-430F-A917-8BB39DE2E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77" name="Picture 889" descr="spacer">
          <a:extLst>
            <a:ext uri="{FF2B5EF4-FFF2-40B4-BE49-F238E27FC236}">
              <a16:creationId xmlns:a16="http://schemas.microsoft.com/office/drawing/2014/main" id="{9C80DB6D-2832-4ABB-9518-8D80AE6D2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78" name="Picture 890" descr="spacer">
          <a:extLst>
            <a:ext uri="{FF2B5EF4-FFF2-40B4-BE49-F238E27FC236}">
              <a16:creationId xmlns:a16="http://schemas.microsoft.com/office/drawing/2014/main" id="{766507CC-5F6B-4E99-BF90-C7E2C454A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79" name="Picture 891" descr="spacer">
          <a:extLst>
            <a:ext uri="{FF2B5EF4-FFF2-40B4-BE49-F238E27FC236}">
              <a16:creationId xmlns:a16="http://schemas.microsoft.com/office/drawing/2014/main" id="{74847A8D-1CD4-4056-994F-FB2F84B7D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80" name="Picture 892" descr="spacer">
          <a:extLst>
            <a:ext uri="{FF2B5EF4-FFF2-40B4-BE49-F238E27FC236}">
              <a16:creationId xmlns:a16="http://schemas.microsoft.com/office/drawing/2014/main" id="{DE109FDF-AA64-4EB8-92FF-5EB1D9FAEC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81" name="Picture 893" descr="spacer">
          <a:extLst>
            <a:ext uri="{FF2B5EF4-FFF2-40B4-BE49-F238E27FC236}">
              <a16:creationId xmlns:a16="http://schemas.microsoft.com/office/drawing/2014/main" id="{3904B8BE-8C28-4BB3-9AF5-D83DAA912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82" name="Picture 894" descr="spacer">
          <a:extLst>
            <a:ext uri="{FF2B5EF4-FFF2-40B4-BE49-F238E27FC236}">
              <a16:creationId xmlns:a16="http://schemas.microsoft.com/office/drawing/2014/main" id="{33C86A6A-0E06-47DA-9436-D2FBACB75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83" name="Picture 895" descr="spacer">
          <a:extLst>
            <a:ext uri="{FF2B5EF4-FFF2-40B4-BE49-F238E27FC236}">
              <a16:creationId xmlns:a16="http://schemas.microsoft.com/office/drawing/2014/main" id="{634A68A9-93AA-4BA8-BA19-ACB57B5D5D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084" name="Picture 898" descr="spacer">
          <a:extLst>
            <a:ext uri="{FF2B5EF4-FFF2-40B4-BE49-F238E27FC236}">
              <a16:creationId xmlns:a16="http://schemas.microsoft.com/office/drawing/2014/main" id="{53CE50A4-DDB2-4DE9-A7BC-32C7202890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85" name="Picture 900" descr="spacer">
          <a:extLst>
            <a:ext uri="{FF2B5EF4-FFF2-40B4-BE49-F238E27FC236}">
              <a16:creationId xmlns:a16="http://schemas.microsoft.com/office/drawing/2014/main" id="{CEE62795-0F7F-40A7-9369-22DD70599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86" name="Picture 901" descr="spacer">
          <a:extLst>
            <a:ext uri="{FF2B5EF4-FFF2-40B4-BE49-F238E27FC236}">
              <a16:creationId xmlns:a16="http://schemas.microsoft.com/office/drawing/2014/main" id="{69384FE0-40D2-40BD-86E2-E08B70310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87" name="Picture 902" descr="spacer">
          <a:extLst>
            <a:ext uri="{FF2B5EF4-FFF2-40B4-BE49-F238E27FC236}">
              <a16:creationId xmlns:a16="http://schemas.microsoft.com/office/drawing/2014/main" id="{4CAF47DC-2A25-4488-9F7A-DC43E5B6D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88" name="Picture 903" descr="spacer">
          <a:extLst>
            <a:ext uri="{FF2B5EF4-FFF2-40B4-BE49-F238E27FC236}">
              <a16:creationId xmlns:a16="http://schemas.microsoft.com/office/drawing/2014/main" id="{23DD0ACD-4E78-43AE-BE77-18BDF4254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89" name="Picture 904" descr="spacer">
          <a:extLst>
            <a:ext uri="{FF2B5EF4-FFF2-40B4-BE49-F238E27FC236}">
              <a16:creationId xmlns:a16="http://schemas.microsoft.com/office/drawing/2014/main" id="{EF1D210B-02C8-45B3-A9CA-99946F40C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90" name="Picture 905" descr="spacer">
          <a:extLst>
            <a:ext uri="{FF2B5EF4-FFF2-40B4-BE49-F238E27FC236}">
              <a16:creationId xmlns:a16="http://schemas.microsoft.com/office/drawing/2014/main" id="{C6648876-66DA-4048-80C6-B8BED0D305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91" name="Picture 906" descr="spacer">
          <a:extLst>
            <a:ext uri="{FF2B5EF4-FFF2-40B4-BE49-F238E27FC236}">
              <a16:creationId xmlns:a16="http://schemas.microsoft.com/office/drawing/2014/main" id="{8A3F5C23-BCD1-420E-AE95-F77734A428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92" name="Picture 907" descr="spacer">
          <a:extLst>
            <a:ext uri="{FF2B5EF4-FFF2-40B4-BE49-F238E27FC236}">
              <a16:creationId xmlns:a16="http://schemas.microsoft.com/office/drawing/2014/main" id="{09684869-BF62-46A0-B7F1-8793D2FC3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93" name="Picture 908" descr="spacer">
          <a:extLst>
            <a:ext uri="{FF2B5EF4-FFF2-40B4-BE49-F238E27FC236}">
              <a16:creationId xmlns:a16="http://schemas.microsoft.com/office/drawing/2014/main" id="{810267DE-9E7B-42FC-9C8E-5FEA8EFD8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94" name="Picture 909" descr="spacer">
          <a:extLst>
            <a:ext uri="{FF2B5EF4-FFF2-40B4-BE49-F238E27FC236}">
              <a16:creationId xmlns:a16="http://schemas.microsoft.com/office/drawing/2014/main" id="{3E6821F8-14AC-49F8-838F-2CA6C6F92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95" name="Picture 910" descr="spacer">
          <a:extLst>
            <a:ext uri="{FF2B5EF4-FFF2-40B4-BE49-F238E27FC236}">
              <a16:creationId xmlns:a16="http://schemas.microsoft.com/office/drawing/2014/main" id="{FBE07177-F9D7-434D-8983-354940112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96" name="Picture 911" descr="spacer">
          <a:extLst>
            <a:ext uri="{FF2B5EF4-FFF2-40B4-BE49-F238E27FC236}">
              <a16:creationId xmlns:a16="http://schemas.microsoft.com/office/drawing/2014/main" id="{19E0EC35-13E0-425F-A5D0-9E51C4A585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97" name="Picture 912" descr="spacer">
          <a:extLst>
            <a:ext uri="{FF2B5EF4-FFF2-40B4-BE49-F238E27FC236}">
              <a16:creationId xmlns:a16="http://schemas.microsoft.com/office/drawing/2014/main" id="{CAD0BA0B-5D49-444B-8A57-198A60561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098" name="Picture 913" descr="spacer">
          <a:extLst>
            <a:ext uri="{FF2B5EF4-FFF2-40B4-BE49-F238E27FC236}">
              <a16:creationId xmlns:a16="http://schemas.microsoft.com/office/drawing/2014/main" id="{6CDA3676-E120-48A8-8282-B2BEE10B8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099" name="Picture 916" descr="spacer">
          <a:extLst>
            <a:ext uri="{FF2B5EF4-FFF2-40B4-BE49-F238E27FC236}">
              <a16:creationId xmlns:a16="http://schemas.microsoft.com/office/drawing/2014/main" id="{ED0A39A1-7C21-4F69-BF13-3EB3266FB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00" name="Picture 918" descr="spacer">
          <a:extLst>
            <a:ext uri="{FF2B5EF4-FFF2-40B4-BE49-F238E27FC236}">
              <a16:creationId xmlns:a16="http://schemas.microsoft.com/office/drawing/2014/main" id="{AF6F6A88-F419-4293-9110-3A15AA322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01" name="Picture 919" descr="spacer">
          <a:extLst>
            <a:ext uri="{FF2B5EF4-FFF2-40B4-BE49-F238E27FC236}">
              <a16:creationId xmlns:a16="http://schemas.microsoft.com/office/drawing/2014/main" id="{695B17E7-1044-482D-B378-AC9B5A095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02" name="Picture 920" descr="spacer">
          <a:extLst>
            <a:ext uri="{FF2B5EF4-FFF2-40B4-BE49-F238E27FC236}">
              <a16:creationId xmlns:a16="http://schemas.microsoft.com/office/drawing/2014/main" id="{8226136D-C7AC-48A6-9B2D-9A4D2CE80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03" name="Picture 921" descr="spacer">
          <a:extLst>
            <a:ext uri="{FF2B5EF4-FFF2-40B4-BE49-F238E27FC236}">
              <a16:creationId xmlns:a16="http://schemas.microsoft.com/office/drawing/2014/main" id="{9391773A-7680-4867-8814-0C5739D42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04" name="Picture 922" descr="spacer">
          <a:extLst>
            <a:ext uri="{FF2B5EF4-FFF2-40B4-BE49-F238E27FC236}">
              <a16:creationId xmlns:a16="http://schemas.microsoft.com/office/drawing/2014/main" id="{46BAE1F8-13F5-491B-9289-FB349AE66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05" name="Picture 923" descr="spacer">
          <a:extLst>
            <a:ext uri="{FF2B5EF4-FFF2-40B4-BE49-F238E27FC236}">
              <a16:creationId xmlns:a16="http://schemas.microsoft.com/office/drawing/2014/main" id="{24A58073-C648-4E39-8E2D-49F65591B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06" name="Picture 924" descr="spacer">
          <a:extLst>
            <a:ext uri="{FF2B5EF4-FFF2-40B4-BE49-F238E27FC236}">
              <a16:creationId xmlns:a16="http://schemas.microsoft.com/office/drawing/2014/main" id="{161B9F32-9784-4895-88D5-9A357885E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07" name="Picture 925" descr="spacer">
          <a:extLst>
            <a:ext uri="{FF2B5EF4-FFF2-40B4-BE49-F238E27FC236}">
              <a16:creationId xmlns:a16="http://schemas.microsoft.com/office/drawing/2014/main" id="{D5517761-966C-4E51-93BC-F0B3AEA68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08" name="Picture 926" descr="spacer">
          <a:extLst>
            <a:ext uri="{FF2B5EF4-FFF2-40B4-BE49-F238E27FC236}">
              <a16:creationId xmlns:a16="http://schemas.microsoft.com/office/drawing/2014/main" id="{CE97B656-FF9A-4C96-8BEC-66432C218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09" name="Picture 927" descr="spacer">
          <a:extLst>
            <a:ext uri="{FF2B5EF4-FFF2-40B4-BE49-F238E27FC236}">
              <a16:creationId xmlns:a16="http://schemas.microsoft.com/office/drawing/2014/main" id="{AED7EC2B-F6E9-4112-B30B-E02B41321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10" name="Picture 928" descr="spacer">
          <a:extLst>
            <a:ext uri="{FF2B5EF4-FFF2-40B4-BE49-F238E27FC236}">
              <a16:creationId xmlns:a16="http://schemas.microsoft.com/office/drawing/2014/main" id="{8F2B9454-D88D-4399-BB6F-5950745FA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11" name="Picture 929" descr="spacer">
          <a:extLst>
            <a:ext uri="{FF2B5EF4-FFF2-40B4-BE49-F238E27FC236}">
              <a16:creationId xmlns:a16="http://schemas.microsoft.com/office/drawing/2014/main" id="{B81F964A-D0B7-4227-939C-55F678BFB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12" name="Picture 930" descr="spacer">
          <a:extLst>
            <a:ext uri="{FF2B5EF4-FFF2-40B4-BE49-F238E27FC236}">
              <a16:creationId xmlns:a16="http://schemas.microsoft.com/office/drawing/2014/main" id="{2260A0EB-7B77-4D52-AF43-5FE5ECA76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13" name="Picture 931" descr="spacer">
          <a:extLst>
            <a:ext uri="{FF2B5EF4-FFF2-40B4-BE49-F238E27FC236}">
              <a16:creationId xmlns:a16="http://schemas.microsoft.com/office/drawing/2014/main" id="{49DD0B66-A08B-4C1F-8984-E80243BE9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114" name="Picture 934" descr="spacer">
          <a:extLst>
            <a:ext uri="{FF2B5EF4-FFF2-40B4-BE49-F238E27FC236}">
              <a16:creationId xmlns:a16="http://schemas.microsoft.com/office/drawing/2014/main" id="{7D3669E2-7678-4944-964C-8AC75BCEB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15" name="Picture 936" descr="spacer">
          <a:extLst>
            <a:ext uri="{FF2B5EF4-FFF2-40B4-BE49-F238E27FC236}">
              <a16:creationId xmlns:a16="http://schemas.microsoft.com/office/drawing/2014/main" id="{34978206-3650-4E23-8F9D-9A1809D7F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16" name="Picture 937" descr="spacer">
          <a:extLst>
            <a:ext uri="{FF2B5EF4-FFF2-40B4-BE49-F238E27FC236}">
              <a16:creationId xmlns:a16="http://schemas.microsoft.com/office/drawing/2014/main" id="{AD4F02B5-B140-40CA-AC19-0CEDA74C0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17" name="Picture 938" descr="spacer">
          <a:extLst>
            <a:ext uri="{FF2B5EF4-FFF2-40B4-BE49-F238E27FC236}">
              <a16:creationId xmlns:a16="http://schemas.microsoft.com/office/drawing/2014/main" id="{75BBFF6C-A00B-4834-8653-BBAF4EC2E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18" name="Picture 939" descr="spacer">
          <a:extLst>
            <a:ext uri="{FF2B5EF4-FFF2-40B4-BE49-F238E27FC236}">
              <a16:creationId xmlns:a16="http://schemas.microsoft.com/office/drawing/2014/main" id="{0EA931DA-F375-407A-8456-071B773AC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19" name="Picture 940" descr="spacer">
          <a:extLst>
            <a:ext uri="{FF2B5EF4-FFF2-40B4-BE49-F238E27FC236}">
              <a16:creationId xmlns:a16="http://schemas.microsoft.com/office/drawing/2014/main" id="{B73906FB-8F1D-4150-90A4-FB6973C74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20" name="Picture 941" descr="spacer">
          <a:extLst>
            <a:ext uri="{FF2B5EF4-FFF2-40B4-BE49-F238E27FC236}">
              <a16:creationId xmlns:a16="http://schemas.microsoft.com/office/drawing/2014/main" id="{ADE23617-918C-4F93-8729-0D07393C4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21" name="Picture 942" descr="spacer">
          <a:extLst>
            <a:ext uri="{FF2B5EF4-FFF2-40B4-BE49-F238E27FC236}">
              <a16:creationId xmlns:a16="http://schemas.microsoft.com/office/drawing/2014/main" id="{9B52F9B1-ADAF-4429-BB27-B8E5D74CC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22" name="Picture 943" descr="spacer">
          <a:extLst>
            <a:ext uri="{FF2B5EF4-FFF2-40B4-BE49-F238E27FC236}">
              <a16:creationId xmlns:a16="http://schemas.microsoft.com/office/drawing/2014/main" id="{C77DB66B-ED6E-4CA6-9C45-46D966571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23" name="Picture 944" descr="spacer">
          <a:extLst>
            <a:ext uri="{FF2B5EF4-FFF2-40B4-BE49-F238E27FC236}">
              <a16:creationId xmlns:a16="http://schemas.microsoft.com/office/drawing/2014/main" id="{3F085BA3-6F90-4753-9A7A-14F15D763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24" name="Picture 945" descr="spacer">
          <a:extLst>
            <a:ext uri="{FF2B5EF4-FFF2-40B4-BE49-F238E27FC236}">
              <a16:creationId xmlns:a16="http://schemas.microsoft.com/office/drawing/2014/main" id="{08ACCDE4-37DC-426D-803B-07E667AF5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25" name="Picture 946" descr="spacer">
          <a:extLst>
            <a:ext uri="{FF2B5EF4-FFF2-40B4-BE49-F238E27FC236}">
              <a16:creationId xmlns:a16="http://schemas.microsoft.com/office/drawing/2014/main" id="{CF6F1087-5FFE-41C2-A5DF-E2F34E863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26" name="Picture 947" descr="spacer">
          <a:extLst>
            <a:ext uri="{FF2B5EF4-FFF2-40B4-BE49-F238E27FC236}">
              <a16:creationId xmlns:a16="http://schemas.microsoft.com/office/drawing/2014/main" id="{1D1C21B4-57EF-4144-820B-5F591194E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27" name="Picture 948" descr="spacer">
          <a:extLst>
            <a:ext uri="{FF2B5EF4-FFF2-40B4-BE49-F238E27FC236}">
              <a16:creationId xmlns:a16="http://schemas.microsoft.com/office/drawing/2014/main" id="{CAAEED6A-314B-4DB4-BEB3-7D7327BB7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128" name="Picture 951" descr="spacer">
          <a:extLst>
            <a:ext uri="{FF2B5EF4-FFF2-40B4-BE49-F238E27FC236}">
              <a16:creationId xmlns:a16="http://schemas.microsoft.com/office/drawing/2014/main" id="{113E0D30-0B93-4DC0-94B7-8B97F22CC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29" name="Picture 953" descr="spacer">
          <a:extLst>
            <a:ext uri="{FF2B5EF4-FFF2-40B4-BE49-F238E27FC236}">
              <a16:creationId xmlns:a16="http://schemas.microsoft.com/office/drawing/2014/main" id="{96A87843-85A0-4EBC-AD16-044FC5380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30" name="Picture 954" descr="spacer">
          <a:extLst>
            <a:ext uri="{FF2B5EF4-FFF2-40B4-BE49-F238E27FC236}">
              <a16:creationId xmlns:a16="http://schemas.microsoft.com/office/drawing/2014/main" id="{0257B8E2-93B5-4CA1-8EF1-B856B0EF4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31" name="Picture 955" descr="spacer">
          <a:extLst>
            <a:ext uri="{FF2B5EF4-FFF2-40B4-BE49-F238E27FC236}">
              <a16:creationId xmlns:a16="http://schemas.microsoft.com/office/drawing/2014/main" id="{4803FDF8-3898-4354-9E0D-7E8F26AD6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32" name="Picture 956" descr="spacer">
          <a:extLst>
            <a:ext uri="{FF2B5EF4-FFF2-40B4-BE49-F238E27FC236}">
              <a16:creationId xmlns:a16="http://schemas.microsoft.com/office/drawing/2014/main" id="{5D459DF6-BC00-463A-9349-0EE837B3F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33" name="Picture 957" descr="spacer">
          <a:extLst>
            <a:ext uri="{FF2B5EF4-FFF2-40B4-BE49-F238E27FC236}">
              <a16:creationId xmlns:a16="http://schemas.microsoft.com/office/drawing/2014/main" id="{6F353CCF-25A5-4B8E-9502-FD2950CD7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34" name="Picture 958" descr="spacer">
          <a:extLst>
            <a:ext uri="{FF2B5EF4-FFF2-40B4-BE49-F238E27FC236}">
              <a16:creationId xmlns:a16="http://schemas.microsoft.com/office/drawing/2014/main" id="{1FAD1AE9-7E6C-4958-B15E-45FED2633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35" name="Picture 959" descr="spacer">
          <a:extLst>
            <a:ext uri="{FF2B5EF4-FFF2-40B4-BE49-F238E27FC236}">
              <a16:creationId xmlns:a16="http://schemas.microsoft.com/office/drawing/2014/main" id="{5FCC30E1-F4EC-4173-B609-235B22EF7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36" name="Picture 960" descr="spacer">
          <a:extLst>
            <a:ext uri="{FF2B5EF4-FFF2-40B4-BE49-F238E27FC236}">
              <a16:creationId xmlns:a16="http://schemas.microsoft.com/office/drawing/2014/main" id="{A15BD97E-1101-4357-8493-1949EC3713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37" name="Picture 961" descr="spacer">
          <a:extLst>
            <a:ext uri="{FF2B5EF4-FFF2-40B4-BE49-F238E27FC236}">
              <a16:creationId xmlns:a16="http://schemas.microsoft.com/office/drawing/2014/main" id="{6CA76A24-E2D3-4401-8B32-3CF847537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38" name="Picture 962" descr="spacer">
          <a:extLst>
            <a:ext uri="{FF2B5EF4-FFF2-40B4-BE49-F238E27FC236}">
              <a16:creationId xmlns:a16="http://schemas.microsoft.com/office/drawing/2014/main" id="{3D504DE1-1FA2-495E-A9E1-A546941F6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39" name="Picture 963" descr="spacer">
          <a:extLst>
            <a:ext uri="{FF2B5EF4-FFF2-40B4-BE49-F238E27FC236}">
              <a16:creationId xmlns:a16="http://schemas.microsoft.com/office/drawing/2014/main" id="{E647A9E7-EDE6-48E1-8A10-FA2F4AE2F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40" name="Picture 964" descr="spacer">
          <a:extLst>
            <a:ext uri="{FF2B5EF4-FFF2-40B4-BE49-F238E27FC236}">
              <a16:creationId xmlns:a16="http://schemas.microsoft.com/office/drawing/2014/main" id="{6BA3C778-45FF-41FE-BD95-261B5ACA2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41" name="Picture 965" descr="spacer">
          <a:extLst>
            <a:ext uri="{FF2B5EF4-FFF2-40B4-BE49-F238E27FC236}">
              <a16:creationId xmlns:a16="http://schemas.microsoft.com/office/drawing/2014/main" id="{4149FB4A-B270-40ED-90A3-233E49CB2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42" name="Picture 966" descr="spacer">
          <a:extLst>
            <a:ext uri="{FF2B5EF4-FFF2-40B4-BE49-F238E27FC236}">
              <a16:creationId xmlns:a16="http://schemas.microsoft.com/office/drawing/2014/main" id="{92F9FF56-B24C-4FE3-8D7F-53F4BFC56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143" name="Picture 969" descr="spacer">
          <a:extLst>
            <a:ext uri="{FF2B5EF4-FFF2-40B4-BE49-F238E27FC236}">
              <a16:creationId xmlns:a16="http://schemas.microsoft.com/office/drawing/2014/main" id="{167F628A-F13D-4681-B67A-910D14D1C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44" name="Picture 971" descr="spacer">
          <a:extLst>
            <a:ext uri="{FF2B5EF4-FFF2-40B4-BE49-F238E27FC236}">
              <a16:creationId xmlns:a16="http://schemas.microsoft.com/office/drawing/2014/main" id="{DB336409-C81E-42EC-A695-7F32FE450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45" name="Picture 972" descr="spacer">
          <a:extLst>
            <a:ext uri="{FF2B5EF4-FFF2-40B4-BE49-F238E27FC236}">
              <a16:creationId xmlns:a16="http://schemas.microsoft.com/office/drawing/2014/main" id="{729DF196-A8B7-4644-A0AA-02C58F913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46" name="Picture 973" descr="spacer">
          <a:extLst>
            <a:ext uri="{FF2B5EF4-FFF2-40B4-BE49-F238E27FC236}">
              <a16:creationId xmlns:a16="http://schemas.microsoft.com/office/drawing/2014/main" id="{7D81E380-95D4-4B4B-AF05-130A75BF3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47" name="Picture 974" descr="spacer">
          <a:extLst>
            <a:ext uri="{FF2B5EF4-FFF2-40B4-BE49-F238E27FC236}">
              <a16:creationId xmlns:a16="http://schemas.microsoft.com/office/drawing/2014/main" id="{80D5177E-CD2F-4A68-A173-A1C4472B4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48" name="Picture 975" descr="spacer">
          <a:extLst>
            <a:ext uri="{FF2B5EF4-FFF2-40B4-BE49-F238E27FC236}">
              <a16:creationId xmlns:a16="http://schemas.microsoft.com/office/drawing/2014/main" id="{2141D2AC-494A-4C32-8A3F-59E07C145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49" name="Picture 976" descr="spacer">
          <a:extLst>
            <a:ext uri="{FF2B5EF4-FFF2-40B4-BE49-F238E27FC236}">
              <a16:creationId xmlns:a16="http://schemas.microsoft.com/office/drawing/2014/main" id="{FEEBF3E1-3507-4B46-88EE-4C5BD9668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50" name="Picture 977" descr="spacer">
          <a:extLst>
            <a:ext uri="{FF2B5EF4-FFF2-40B4-BE49-F238E27FC236}">
              <a16:creationId xmlns:a16="http://schemas.microsoft.com/office/drawing/2014/main" id="{B896626A-20B7-476A-B656-C84C04BC8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51" name="Picture 978" descr="spacer">
          <a:extLst>
            <a:ext uri="{FF2B5EF4-FFF2-40B4-BE49-F238E27FC236}">
              <a16:creationId xmlns:a16="http://schemas.microsoft.com/office/drawing/2014/main" id="{3C3419B7-55B9-483A-959D-F51DA8FDA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52" name="Picture 979" descr="spacer">
          <a:extLst>
            <a:ext uri="{FF2B5EF4-FFF2-40B4-BE49-F238E27FC236}">
              <a16:creationId xmlns:a16="http://schemas.microsoft.com/office/drawing/2014/main" id="{49A9F60C-EA3A-4462-A5F6-7577424E5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53" name="Picture 980" descr="spacer">
          <a:extLst>
            <a:ext uri="{FF2B5EF4-FFF2-40B4-BE49-F238E27FC236}">
              <a16:creationId xmlns:a16="http://schemas.microsoft.com/office/drawing/2014/main" id="{B1C7A76C-8404-46E8-A10C-539289424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54" name="Picture 981" descr="spacer">
          <a:extLst>
            <a:ext uri="{FF2B5EF4-FFF2-40B4-BE49-F238E27FC236}">
              <a16:creationId xmlns:a16="http://schemas.microsoft.com/office/drawing/2014/main" id="{9BD566A8-0C6C-46E9-B09E-280AB55FF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55" name="Picture 982" descr="spacer">
          <a:extLst>
            <a:ext uri="{FF2B5EF4-FFF2-40B4-BE49-F238E27FC236}">
              <a16:creationId xmlns:a16="http://schemas.microsoft.com/office/drawing/2014/main" id="{DD554903-348B-4CEA-854E-215A69F64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56" name="Picture 983" descr="spacer">
          <a:extLst>
            <a:ext uri="{FF2B5EF4-FFF2-40B4-BE49-F238E27FC236}">
              <a16:creationId xmlns:a16="http://schemas.microsoft.com/office/drawing/2014/main" id="{0BE98D5F-B79D-4129-99B6-00FE1D6D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57" name="Picture 984" descr="spacer">
          <a:extLst>
            <a:ext uri="{FF2B5EF4-FFF2-40B4-BE49-F238E27FC236}">
              <a16:creationId xmlns:a16="http://schemas.microsoft.com/office/drawing/2014/main" id="{9DC59CDB-FBA2-4F1E-8481-7C9412D5D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158" name="Picture 987" descr="spacer">
          <a:extLst>
            <a:ext uri="{FF2B5EF4-FFF2-40B4-BE49-F238E27FC236}">
              <a16:creationId xmlns:a16="http://schemas.microsoft.com/office/drawing/2014/main" id="{92D99C72-242B-4068-99CF-E9D88F5B7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59" name="Picture 989" descr="spacer">
          <a:extLst>
            <a:ext uri="{FF2B5EF4-FFF2-40B4-BE49-F238E27FC236}">
              <a16:creationId xmlns:a16="http://schemas.microsoft.com/office/drawing/2014/main" id="{2CF54BC1-BDC0-47A2-BA63-FA4D093A1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60" name="Picture 990" descr="spacer">
          <a:extLst>
            <a:ext uri="{FF2B5EF4-FFF2-40B4-BE49-F238E27FC236}">
              <a16:creationId xmlns:a16="http://schemas.microsoft.com/office/drawing/2014/main" id="{3EF7025A-FB52-4CCB-B0B1-EC21F71F80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61" name="Picture 991" descr="spacer">
          <a:extLst>
            <a:ext uri="{FF2B5EF4-FFF2-40B4-BE49-F238E27FC236}">
              <a16:creationId xmlns:a16="http://schemas.microsoft.com/office/drawing/2014/main" id="{67B928F9-AF7B-4EB0-A8B9-E492BAF1F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62" name="Picture 992" descr="spacer">
          <a:extLst>
            <a:ext uri="{FF2B5EF4-FFF2-40B4-BE49-F238E27FC236}">
              <a16:creationId xmlns:a16="http://schemas.microsoft.com/office/drawing/2014/main" id="{94656C48-B57A-41FE-81AA-3EDCD110C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63" name="Picture 993" descr="spacer">
          <a:extLst>
            <a:ext uri="{FF2B5EF4-FFF2-40B4-BE49-F238E27FC236}">
              <a16:creationId xmlns:a16="http://schemas.microsoft.com/office/drawing/2014/main" id="{9AB12F46-EF51-4DC3-A907-20EA80BB1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64" name="Picture 994" descr="spacer">
          <a:extLst>
            <a:ext uri="{FF2B5EF4-FFF2-40B4-BE49-F238E27FC236}">
              <a16:creationId xmlns:a16="http://schemas.microsoft.com/office/drawing/2014/main" id="{F6553DA7-15DA-490E-8EA6-615C1AF9A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65" name="Picture 995" descr="spacer">
          <a:extLst>
            <a:ext uri="{FF2B5EF4-FFF2-40B4-BE49-F238E27FC236}">
              <a16:creationId xmlns:a16="http://schemas.microsoft.com/office/drawing/2014/main" id="{D82CE0C6-0FE5-43EE-AAB3-8250263D8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66" name="Picture 996" descr="spacer">
          <a:extLst>
            <a:ext uri="{FF2B5EF4-FFF2-40B4-BE49-F238E27FC236}">
              <a16:creationId xmlns:a16="http://schemas.microsoft.com/office/drawing/2014/main" id="{B306E585-FB95-4428-86D6-EF5FC647B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67" name="Picture 997" descr="spacer">
          <a:extLst>
            <a:ext uri="{FF2B5EF4-FFF2-40B4-BE49-F238E27FC236}">
              <a16:creationId xmlns:a16="http://schemas.microsoft.com/office/drawing/2014/main" id="{9067F0F8-F136-4105-99D6-3E6A18C9C8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68" name="Picture 998" descr="spacer">
          <a:extLst>
            <a:ext uri="{FF2B5EF4-FFF2-40B4-BE49-F238E27FC236}">
              <a16:creationId xmlns:a16="http://schemas.microsoft.com/office/drawing/2014/main" id="{EE2A0C8B-D78C-4274-9D0F-47DCE2F77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69" name="Picture 999" descr="spacer">
          <a:extLst>
            <a:ext uri="{FF2B5EF4-FFF2-40B4-BE49-F238E27FC236}">
              <a16:creationId xmlns:a16="http://schemas.microsoft.com/office/drawing/2014/main" id="{6F07ECB9-370B-4089-AA9C-790C37D353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70" name="Picture 1000" descr="spacer">
          <a:extLst>
            <a:ext uri="{FF2B5EF4-FFF2-40B4-BE49-F238E27FC236}">
              <a16:creationId xmlns:a16="http://schemas.microsoft.com/office/drawing/2014/main" id="{1985F7EA-0DE3-42A7-862B-A5BE9C6DD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71" name="Picture 1001" descr="spacer">
          <a:extLst>
            <a:ext uri="{FF2B5EF4-FFF2-40B4-BE49-F238E27FC236}">
              <a16:creationId xmlns:a16="http://schemas.microsoft.com/office/drawing/2014/main" id="{EA70A320-9714-430E-9223-53A251DB2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172" name="Picture 1004" descr="spacer">
          <a:extLst>
            <a:ext uri="{FF2B5EF4-FFF2-40B4-BE49-F238E27FC236}">
              <a16:creationId xmlns:a16="http://schemas.microsoft.com/office/drawing/2014/main" id="{89CBA073-04A8-483A-A78A-1EF4700DB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73" name="Picture 1006" descr="spacer">
          <a:extLst>
            <a:ext uri="{FF2B5EF4-FFF2-40B4-BE49-F238E27FC236}">
              <a16:creationId xmlns:a16="http://schemas.microsoft.com/office/drawing/2014/main" id="{6429F366-9DB7-463B-B173-66E2E1714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74" name="Picture 1007" descr="spacer">
          <a:extLst>
            <a:ext uri="{FF2B5EF4-FFF2-40B4-BE49-F238E27FC236}">
              <a16:creationId xmlns:a16="http://schemas.microsoft.com/office/drawing/2014/main" id="{4CFD4E92-0B41-4471-8BE4-611D8EDA8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75" name="Picture 1008" descr="spacer">
          <a:extLst>
            <a:ext uri="{FF2B5EF4-FFF2-40B4-BE49-F238E27FC236}">
              <a16:creationId xmlns:a16="http://schemas.microsoft.com/office/drawing/2014/main" id="{03EB9DB7-D1F7-47A1-8512-063CE309E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76" name="Picture 1009" descr="spacer">
          <a:extLst>
            <a:ext uri="{FF2B5EF4-FFF2-40B4-BE49-F238E27FC236}">
              <a16:creationId xmlns:a16="http://schemas.microsoft.com/office/drawing/2014/main" id="{6B39029A-C3BF-4884-A02D-7A63C1C2B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77" name="Picture 1010" descr="spacer">
          <a:extLst>
            <a:ext uri="{FF2B5EF4-FFF2-40B4-BE49-F238E27FC236}">
              <a16:creationId xmlns:a16="http://schemas.microsoft.com/office/drawing/2014/main" id="{26EC7B9C-54C5-4A7E-8629-A50FAA78C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78" name="Picture 1011" descr="spacer">
          <a:extLst>
            <a:ext uri="{FF2B5EF4-FFF2-40B4-BE49-F238E27FC236}">
              <a16:creationId xmlns:a16="http://schemas.microsoft.com/office/drawing/2014/main" id="{E5E5C885-2D24-48D3-8163-222616357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79" name="Picture 1012" descr="spacer">
          <a:extLst>
            <a:ext uri="{FF2B5EF4-FFF2-40B4-BE49-F238E27FC236}">
              <a16:creationId xmlns:a16="http://schemas.microsoft.com/office/drawing/2014/main" id="{139BEB41-EF2C-4D2F-B89A-F1E225E45D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80" name="Picture 1013" descr="spacer">
          <a:extLst>
            <a:ext uri="{FF2B5EF4-FFF2-40B4-BE49-F238E27FC236}">
              <a16:creationId xmlns:a16="http://schemas.microsoft.com/office/drawing/2014/main" id="{291FFEA3-6F07-4152-B635-2048FF682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81" name="Picture 1014" descr="spacer">
          <a:extLst>
            <a:ext uri="{FF2B5EF4-FFF2-40B4-BE49-F238E27FC236}">
              <a16:creationId xmlns:a16="http://schemas.microsoft.com/office/drawing/2014/main" id="{B4C69463-821B-4D04-82DE-4CA817567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82" name="Picture 1015" descr="spacer">
          <a:extLst>
            <a:ext uri="{FF2B5EF4-FFF2-40B4-BE49-F238E27FC236}">
              <a16:creationId xmlns:a16="http://schemas.microsoft.com/office/drawing/2014/main" id="{E3751BA8-0A57-4588-B785-D9A74FEEA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83" name="Picture 1016" descr="spacer">
          <a:extLst>
            <a:ext uri="{FF2B5EF4-FFF2-40B4-BE49-F238E27FC236}">
              <a16:creationId xmlns:a16="http://schemas.microsoft.com/office/drawing/2014/main" id="{6D12EF03-DA71-49F2-B8FA-F88BB39D4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84" name="Picture 1017" descr="spacer">
          <a:extLst>
            <a:ext uri="{FF2B5EF4-FFF2-40B4-BE49-F238E27FC236}">
              <a16:creationId xmlns:a16="http://schemas.microsoft.com/office/drawing/2014/main" id="{CA1A9A6C-B620-42FE-8D5E-EB7A60607D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85" name="Picture 1018" descr="spacer">
          <a:extLst>
            <a:ext uri="{FF2B5EF4-FFF2-40B4-BE49-F238E27FC236}">
              <a16:creationId xmlns:a16="http://schemas.microsoft.com/office/drawing/2014/main" id="{8292E08C-3DF7-4248-9417-DD1DDE364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86" name="Picture 1019" descr="spacer">
          <a:extLst>
            <a:ext uri="{FF2B5EF4-FFF2-40B4-BE49-F238E27FC236}">
              <a16:creationId xmlns:a16="http://schemas.microsoft.com/office/drawing/2014/main" id="{2C7DCF34-0CEA-4117-AE62-2979DF203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187" name="Picture 1022" descr="spacer">
          <a:extLst>
            <a:ext uri="{FF2B5EF4-FFF2-40B4-BE49-F238E27FC236}">
              <a16:creationId xmlns:a16="http://schemas.microsoft.com/office/drawing/2014/main" id="{69671E4B-9742-466E-A9A7-23E105630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88" name="Picture 1024" descr="spacer">
          <a:extLst>
            <a:ext uri="{FF2B5EF4-FFF2-40B4-BE49-F238E27FC236}">
              <a16:creationId xmlns:a16="http://schemas.microsoft.com/office/drawing/2014/main" id="{6F0A70C1-3D25-4A86-91EF-C377885F3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89" name="Picture 1025" descr="spacer">
          <a:extLst>
            <a:ext uri="{FF2B5EF4-FFF2-40B4-BE49-F238E27FC236}">
              <a16:creationId xmlns:a16="http://schemas.microsoft.com/office/drawing/2014/main" id="{539AD398-1E3F-484E-9B54-367874B0B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90" name="Picture 1026" descr="spacer">
          <a:extLst>
            <a:ext uri="{FF2B5EF4-FFF2-40B4-BE49-F238E27FC236}">
              <a16:creationId xmlns:a16="http://schemas.microsoft.com/office/drawing/2014/main" id="{13179D07-EFF3-41A2-8735-FDC835E828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91" name="Picture 1027" descr="spacer">
          <a:extLst>
            <a:ext uri="{FF2B5EF4-FFF2-40B4-BE49-F238E27FC236}">
              <a16:creationId xmlns:a16="http://schemas.microsoft.com/office/drawing/2014/main" id="{A23E2BA5-73C1-4141-8864-57697861E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92" name="Picture 1028" descr="spacer">
          <a:extLst>
            <a:ext uri="{FF2B5EF4-FFF2-40B4-BE49-F238E27FC236}">
              <a16:creationId xmlns:a16="http://schemas.microsoft.com/office/drawing/2014/main" id="{87E84346-C425-4957-893F-5D078AC9D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93" name="Picture 1029" descr="spacer">
          <a:extLst>
            <a:ext uri="{FF2B5EF4-FFF2-40B4-BE49-F238E27FC236}">
              <a16:creationId xmlns:a16="http://schemas.microsoft.com/office/drawing/2014/main" id="{98DEEF97-D52A-41AA-B757-4DE39CC61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94" name="Picture 1030" descr="spacer">
          <a:extLst>
            <a:ext uri="{FF2B5EF4-FFF2-40B4-BE49-F238E27FC236}">
              <a16:creationId xmlns:a16="http://schemas.microsoft.com/office/drawing/2014/main" id="{004A33F2-2B32-4E39-B7D9-8A00A40E2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95" name="Picture 1031" descr="spacer">
          <a:extLst>
            <a:ext uri="{FF2B5EF4-FFF2-40B4-BE49-F238E27FC236}">
              <a16:creationId xmlns:a16="http://schemas.microsoft.com/office/drawing/2014/main" id="{8E5E218A-B91B-4B5E-978F-24F51E4B5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96" name="Picture 1032" descr="spacer">
          <a:extLst>
            <a:ext uri="{FF2B5EF4-FFF2-40B4-BE49-F238E27FC236}">
              <a16:creationId xmlns:a16="http://schemas.microsoft.com/office/drawing/2014/main" id="{05D894EF-57DE-4384-BF5B-CA40A903C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97" name="Picture 1033" descr="spacer">
          <a:extLst>
            <a:ext uri="{FF2B5EF4-FFF2-40B4-BE49-F238E27FC236}">
              <a16:creationId xmlns:a16="http://schemas.microsoft.com/office/drawing/2014/main" id="{7AF2D501-AC91-4AEF-BB4E-6E584C88F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98" name="Picture 1034" descr="spacer">
          <a:extLst>
            <a:ext uri="{FF2B5EF4-FFF2-40B4-BE49-F238E27FC236}">
              <a16:creationId xmlns:a16="http://schemas.microsoft.com/office/drawing/2014/main" id="{6D17BD10-849A-4531-A3FD-1A9465749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199" name="Picture 1035" descr="spacer">
          <a:extLst>
            <a:ext uri="{FF2B5EF4-FFF2-40B4-BE49-F238E27FC236}">
              <a16:creationId xmlns:a16="http://schemas.microsoft.com/office/drawing/2014/main" id="{5987DE9C-E85C-4A4C-91E3-E705F78FB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00" name="Picture 1036" descr="spacer">
          <a:extLst>
            <a:ext uri="{FF2B5EF4-FFF2-40B4-BE49-F238E27FC236}">
              <a16:creationId xmlns:a16="http://schemas.microsoft.com/office/drawing/2014/main" id="{431A4ED9-8D16-43CC-9219-A4B155571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01" name="Picture 1037" descr="spacer">
          <a:extLst>
            <a:ext uri="{FF2B5EF4-FFF2-40B4-BE49-F238E27FC236}">
              <a16:creationId xmlns:a16="http://schemas.microsoft.com/office/drawing/2014/main" id="{82867E28-1D94-4F65-8DA0-285498B35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202" name="Picture 1040" descr="spacer">
          <a:extLst>
            <a:ext uri="{FF2B5EF4-FFF2-40B4-BE49-F238E27FC236}">
              <a16:creationId xmlns:a16="http://schemas.microsoft.com/office/drawing/2014/main" id="{51D6394E-7F6A-445E-BC0F-BCD04A72C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03" name="Picture 1042" descr="spacer">
          <a:extLst>
            <a:ext uri="{FF2B5EF4-FFF2-40B4-BE49-F238E27FC236}">
              <a16:creationId xmlns:a16="http://schemas.microsoft.com/office/drawing/2014/main" id="{CA11858C-CEEC-45DF-8823-9F2EB2037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04" name="Picture 1043" descr="spacer">
          <a:extLst>
            <a:ext uri="{FF2B5EF4-FFF2-40B4-BE49-F238E27FC236}">
              <a16:creationId xmlns:a16="http://schemas.microsoft.com/office/drawing/2014/main" id="{C002838C-F1B1-44EF-BBF9-12F2F5C6D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05" name="Picture 1044" descr="spacer">
          <a:extLst>
            <a:ext uri="{FF2B5EF4-FFF2-40B4-BE49-F238E27FC236}">
              <a16:creationId xmlns:a16="http://schemas.microsoft.com/office/drawing/2014/main" id="{9338BC70-3242-4163-A4A8-777F8C07A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06" name="Picture 1045" descr="spacer">
          <a:extLst>
            <a:ext uri="{FF2B5EF4-FFF2-40B4-BE49-F238E27FC236}">
              <a16:creationId xmlns:a16="http://schemas.microsoft.com/office/drawing/2014/main" id="{CA37986B-3EB4-4A7C-BBB0-B3F5F3136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07" name="Picture 1046" descr="spacer">
          <a:extLst>
            <a:ext uri="{FF2B5EF4-FFF2-40B4-BE49-F238E27FC236}">
              <a16:creationId xmlns:a16="http://schemas.microsoft.com/office/drawing/2014/main" id="{A6E53EBC-1E18-48D6-B976-E7597EE03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08" name="Picture 1047" descr="spacer">
          <a:extLst>
            <a:ext uri="{FF2B5EF4-FFF2-40B4-BE49-F238E27FC236}">
              <a16:creationId xmlns:a16="http://schemas.microsoft.com/office/drawing/2014/main" id="{49BE4AC5-68A9-4173-B712-D7EC4D56F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09" name="Picture 1048" descr="spacer">
          <a:extLst>
            <a:ext uri="{FF2B5EF4-FFF2-40B4-BE49-F238E27FC236}">
              <a16:creationId xmlns:a16="http://schemas.microsoft.com/office/drawing/2014/main" id="{C2369123-D649-42F4-B477-9ED865389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10" name="Picture 1049" descr="spacer">
          <a:extLst>
            <a:ext uri="{FF2B5EF4-FFF2-40B4-BE49-F238E27FC236}">
              <a16:creationId xmlns:a16="http://schemas.microsoft.com/office/drawing/2014/main" id="{D52CF9D1-63EF-4ACE-ADFB-B47C270A3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11" name="Picture 1050" descr="spacer">
          <a:extLst>
            <a:ext uri="{FF2B5EF4-FFF2-40B4-BE49-F238E27FC236}">
              <a16:creationId xmlns:a16="http://schemas.microsoft.com/office/drawing/2014/main" id="{4CAF8926-EB50-41E3-93D7-365AB8AD8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12" name="Picture 1051" descr="spacer">
          <a:extLst>
            <a:ext uri="{FF2B5EF4-FFF2-40B4-BE49-F238E27FC236}">
              <a16:creationId xmlns:a16="http://schemas.microsoft.com/office/drawing/2014/main" id="{1711B8CF-E5BF-4B0D-A5A1-97D138B3F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13" name="Picture 1052" descr="spacer">
          <a:extLst>
            <a:ext uri="{FF2B5EF4-FFF2-40B4-BE49-F238E27FC236}">
              <a16:creationId xmlns:a16="http://schemas.microsoft.com/office/drawing/2014/main" id="{A09D9209-F2F5-498F-8F77-E7774A4EA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14" name="Picture 1053" descr="spacer">
          <a:extLst>
            <a:ext uri="{FF2B5EF4-FFF2-40B4-BE49-F238E27FC236}">
              <a16:creationId xmlns:a16="http://schemas.microsoft.com/office/drawing/2014/main" id="{2375208D-59B9-4EF0-87D7-F0ABAE33A2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15" name="Picture 1054" descr="spacer">
          <a:extLst>
            <a:ext uri="{FF2B5EF4-FFF2-40B4-BE49-F238E27FC236}">
              <a16:creationId xmlns:a16="http://schemas.microsoft.com/office/drawing/2014/main" id="{08BED35E-D869-4867-9F8D-6CE6135115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16" name="Picture 1055" descr="spacer">
          <a:extLst>
            <a:ext uri="{FF2B5EF4-FFF2-40B4-BE49-F238E27FC236}">
              <a16:creationId xmlns:a16="http://schemas.microsoft.com/office/drawing/2014/main" id="{3BB947A9-17EA-4C78-9A7D-FF25FFE810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217" name="Picture 1058" descr="spacer">
          <a:extLst>
            <a:ext uri="{FF2B5EF4-FFF2-40B4-BE49-F238E27FC236}">
              <a16:creationId xmlns:a16="http://schemas.microsoft.com/office/drawing/2014/main" id="{F4A4EFC4-68E4-449A-A6AA-5C753176A0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18" name="Picture 1060" descr="spacer">
          <a:extLst>
            <a:ext uri="{FF2B5EF4-FFF2-40B4-BE49-F238E27FC236}">
              <a16:creationId xmlns:a16="http://schemas.microsoft.com/office/drawing/2014/main" id="{76752EEE-198B-4842-A37C-07E67189F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19" name="Picture 1061" descr="spacer">
          <a:extLst>
            <a:ext uri="{FF2B5EF4-FFF2-40B4-BE49-F238E27FC236}">
              <a16:creationId xmlns:a16="http://schemas.microsoft.com/office/drawing/2014/main" id="{E6B17712-A40A-4D86-8565-4C764A40A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20" name="Picture 1062" descr="spacer">
          <a:extLst>
            <a:ext uri="{FF2B5EF4-FFF2-40B4-BE49-F238E27FC236}">
              <a16:creationId xmlns:a16="http://schemas.microsoft.com/office/drawing/2014/main" id="{C864380F-509F-4D69-ACD9-0BF2F5118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21" name="Picture 1063" descr="spacer">
          <a:extLst>
            <a:ext uri="{FF2B5EF4-FFF2-40B4-BE49-F238E27FC236}">
              <a16:creationId xmlns:a16="http://schemas.microsoft.com/office/drawing/2014/main" id="{B7057835-1F91-4CF2-9867-C8C5E3639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22" name="Picture 1064" descr="spacer">
          <a:extLst>
            <a:ext uri="{FF2B5EF4-FFF2-40B4-BE49-F238E27FC236}">
              <a16:creationId xmlns:a16="http://schemas.microsoft.com/office/drawing/2014/main" id="{BA1365E8-A080-4592-BC45-975D5326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23" name="Picture 1065" descr="spacer">
          <a:extLst>
            <a:ext uri="{FF2B5EF4-FFF2-40B4-BE49-F238E27FC236}">
              <a16:creationId xmlns:a16="http://schemas.microsoft.com/office/drawing/2014/main" id="{96ACF7C8-3D01-4EF8-85DE-0818D3DEB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24" name="Picture 1066" descr="spacer">
          <a:extLst>
            <a:ext uri="{FF2B5EF4-FFF2-40B4-BE49-F238E27FC236}">
              <a16:creationId xmlns:a16="http://schemas.microsoft.com/office/drawing/2014/main" id="{A79E4946-BC60-46B3-BF8E-A5593685C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25" name="Picture 1067" descr="spacer">
          <a:extLst>
            <a:ext uri="{FF2B5EF4-FFF2-40B4-BE49-F238E27FC236}">
              <a16:creationId xmlns:a16="http://schemas.microsoft.com/office/drawing/2014/main" id="{0D535160-A03D-4DA1-B6E2-8F96818C54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26" name="Picture 1068" descr="spacer">
          <a:extLst>
            <a:ext uri="{FF2B5EF4-FFF2-40B4-BE49-F238E27FC236}">
              <a16:creationId xmlns:a16="http://schemas.microsoft.com/office/drawing/2014/main" id="{E3F0C4A3-BD27-44DB-8977-E91F0642F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27" name="Picture 1069" descr="spacer">
          <a:extLst>
            <a:ext uri="{FF2B5EF4-FFF2-40B4-BE49-F238E27FC236}">
              <a16:creationId xmlns:a16="http://schemas.microsoft.com/office/drawing/2014/main" id="{8CBE4F61-3F66-445E-910D-C81F96FEE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28" name="Picture 1070" descr="spacer">
          <a:extLst>
            <a:ext uri="{FF2B5EF4-FFF2-40B4-BE49-F238E27FC236}">
              <a16:creationId xmlns:a16="http://schemas.microsoft.com/office/drawing/2014/main" id="{D3A7FF01-5F48-4B29-B740-34F88CF38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29" name="Picture 1071" descr="spacer">
          <a:extLst>
            <a:ext uri="{FF2B5EF4-FFF2-40B4-BE49-F238E27FC236}">
              <a16:creationId xmlns:a16="http://schemas.microsoft.com/office/drawing/2014/main" id="{7BF9D0D5-3071-4564-9AA7-45937AAE1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30" name="Picture 1072" descr="spacer">
          <a:extLst>
            <a:ext uri="{FF2B5EF4-FFF2-40B4-BE49-F238E27FC236}">
              <a16:creationId xmlns:a16="http://schemas.microsoft.com/office/drawing/2014/main" id="{65163ED8-48F7-4F5E-BC0E-CF3D2E578A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31" name="Picture 1073" descr="spacer">
          <a:extLst>
            <a:ext uri="{FF2B5EF4-FFF2-40B4-BE49-F238E27FC236}">
              <a16:creationId xmlns:a16="http://schemas.microsoft.com/office/drawing/2014/main" id="{EDA53FD5-429D-465C-A931-382BAFF6B6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232" name="Picture 1076" descr="spacer">
          <a:extLst>
            <a:ext uri="{FF2B5EF4-FFF2-40B4-BE49-F238E27FC236}">
              <a16:creationId xmlns:a16="http://schemas.microsoft.com/office/drawing/2014/main" id="{0C3E0D82-F4B9-4D4A-B00D-D8AF1D2D0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33" name="Picture 1078" descr="spacer">
          <a:extLst>
            <a:ext uri="{FF2B5EF4-FFF2-40B4-BE49-F238E27FC236}">
              <a16:creationId xmlns:a16="http://schemas.microsoft.com/office/drawing/2014/main" id="{3896F6AF-917F-49BC-80B9-86D916235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34" name="Picture 1079" descr="spacer">
          <a:extLst>
            <a:ext uri="{FF2B5EF4-FFF2-40B4-BE49-F238E27FC236}">
              <a16:creationId xmlns:a16="http://schemas.microsoft.com/office/drawing/2014/main" id="{2839709F-91A3-4EE9-971B-C4B8A7A39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35" name="Picture 1080" descr="spacer">
          <a:extLst>
            <a:ext uri="{FF2B5EF4-FFF2-40B4-BE49-F238E27FC236}">
              <a16:creationId xmlns:a16="http://schemas.microsoft.com/office/drawing/2014/main" id="{57F7889A-58E7-4A5A-80A4-0A9E56A7E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36" name="Picture 1081" descr="spacer">
          <a:extLst>
            <a:ext uri="{FF2B5EF4-FFF2-40B4-BE49-F238E27FC236}">
              <a16:creationId xmlns:a16="http://schemas.microsoft.com/office/drawing/2014/main" id="{FD434DBA-4C0C-4DB1-8C98-2365ABE42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37" name="Picture 1082" descr="spacer">
          <a:extLst>
            <a:ext uri="{FF2B5EF4-FFF2-40B4-BE49-F238E27FC236}">
              <a16:creationId xmlns:a16="http://schemas.microsoft.com/office/drawing/2014/main" id="{E60C9A15-F2A7-4800-97AE-4070FCCEA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38" name="Picture 1083" descr="spacer">
          <a:extLst>
            <a:ext uri="{FF2B5EF4-FFF2-40B4-BE49-F238E27FC236}">
              <a16:creationId xmlns:a16="http://schemas.microsoft.com/office/drawing/2014/main" id="{13936097-7B90-4122-861F-2F4C7F06D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39" name="Picture 1084" descr="spacer">
          <a:extLst>
            <a:ext uri="{FF2B5EF4-FFF2-40B4-BE49-F238E27FC236}">
              <a16:creationId xmlns:a16="http://schemas.microsoft.com/office/drawing/2014/main" id="{EC8959FB-479C-416D-8F8A-B90B3B2D9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40" name="Picture 1085" descr="spacer">
          <a:extLst>
            <a:ext uri="{FF2B5EF4-FFF2-40B4-BE49-F238E27FC236}">
              <a16:creationId xmlns:a16="http://schemas.microsoft.com/office/drawing/2014/main" id="{57F8AF78-C46F-4252-A6BC-01E1D94D8C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41" name="Picture 1086" descr="spacer">
          <a:extLst>
            <a:ext uri="{FF2B5EF4-FFF2-40B4-BE49-F238E27FC236}">
              <a16:creationId xmlns:a16="http://schemas.microsoft.com/office/drawing/2014/main" id="{54BA03DA-563F-430F-8987-95610E515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42" name="Picture 1087" descr="spacer">
          <a:extLst>
            <a:ext uri="{FF2B5EF4-FFF2-40B4-BE49-F238E27FC236}">
              <a16:creationId xmlns:a16="http://schemas.microsoft.com/office/drawing/2014/main" id="{C0186ADF-1BC1-41CD-BAEC-305F8BD26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43" name="Picture 1088" descr="spacer">
          <a:extLst>
            <a:ext uri="{FF2B5EF4-FFF2-40B4-BE49-F238E27FC236}">
              <a16:creationId xmlns:a16="http://schemas.microsoft.com/office/drawing/2014/main" id="{1030E09F-26B3-428F-9142-7EE05E3EB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44" name="Picture 1089" descr="spacer">
          <a:extLst>
            <a:ext uri="{FF2B5EF4-FFF2-40B4-BE49-F238E27FC236}">
              <a16:creationId xmlns:a16="http://schemas.microsoft.com/office/drawing/2014/main" id="{54F33861-99A2-4CC5-A893-A5D816F8D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45" name="Picture 1090" descr="spacer">
          <a:extLst>
            <a:ext uri="{FF2B5EF4-FFF2-40B4-BE49-F238E27FC236}">
              <a16:creationId xmlns:a16="http://schemas.microsoft.com/office/drawing/2014/main" id="{8EE8DB1B-81DF-41A9-A8E5-19E0C79A9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246" name="Picture 1093" descr="spacer">
          <a:extLst>
            <a:ext uri="{FF2B5EF4-FFF2-40B4-BE49-F238E27FC236}">
              <a16:creationId xmlns:a16="http://schemas.microsoft.com/office/drawing/2014/main" id="{44C218B5-B136-4720-8876-56636CB83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47" name="Picture 1095" descr="spacer">
          <a:extLst>
            <a:ext uri="{FF2B5EF4-FFF2-40B4-BE49-F238E27FC236}">
              <a16:creationId xmlns:a16="http://schemas.microsoft.com/office/drawing/2014/main" id="{9EE9CA16-6649-4AFA-97B5-DB8ED1C1C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48" name="Picture 1096" descr="spacer">
          <a:extLst>
            <a:ext uri="{FF2B5EF4-FFF2-40B4-BE49-F238E27FC236}">
              <a16:creationId xmlns:a16="http://schemas.microsoft.com/office/drawing/2014/main" id="{59F01249-D482-465D-87A1-49F2DB24B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49" name="Picture 1097" descr="spacer">
          <a:extLst>
            <a:ext uri="{FF2B5EF4-FFF2-40B4-BE49-F238E27FC236}">
              <a16:creationId xmlns:a16="http://schemas.microsoft.com/office/drawing/2014/main" id="{EF6AA31A-F49A-4B55-BBD7-4A6D13CA5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50" name="Picture 1098" descr="spacer">
          <a:extLst>
            <a:ext uri="{FF2B5EF4-FFF2-40B4-BE49-F238E27FC236}">
              <a16:creationId xmlns:a16="http://schemas.microsoft.com/office/drawing/2014/main" id="{EE43FBB8-C390-48E9-9BD5-2817229FC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51" name="Picture 1099" descr="spacer">
          <a:extLst>
            <a:ext uri="{FF2B5EF4-FFF2-40B4-BE49-F238E27FC236}">
              <a16:creationId xmlns:a16="http://schemas.microsoft.com/office/drawing/2014/main" id="{5E79C2DD-E0E4-4EF9-9118-AEE71E55E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52" name="Picture 1100" descr="spacer">
          <a:extLst>
            <a:ext uri="{FF2B5EF4-FFF2-40B4-BE49-F238E27FC236}">
              <a16:creationId xmlns:a16="http://schemas.microsoft.com/office/drawing/2014/main" id="{F61DF94A-EB1B-47D7-90CB-FD8DAB837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53" name="Picture 1101" descr="spacer">
          <a:extLst>
            <a:ext uri="{FF2B5EF4-FFF2-40B4-BE49-F238E27FC236}">
              <a16:creationId xmlns:a16="http://schemas.microsoft.com/office/drawing/2014/main" id="{23BAB0E4-2992-4B78-BCB6-12CDCF36D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54" name="Picture 1102" descr="spacer">
          <a:extLst>
            <a:ext uri="{FF2B5EF4-FFF2-40B4-BE49-F238E27FC236}">
              <a16:creationId xmlns:a16="http://schemas.microsoft.com/office/drawing/2014/main" id="{0FEBDCE0-BD1A-497A-BCD4-17ADCFFF7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55" name="Picture 1103" descr="spacer">
          <a:extLst>
            <a:ext uri="{FF2B5EF4-FFF2-40B4-BE49-F238E27FC236}">
              <a16:creationId xmlns:a16="http://schemas.microsoft.com/office/drawing/2014/main" id="{90B9CA94-9DAD-4946-8109-671D7CB6F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56" name="Picture 1104" descr="spacer">
          <a:extLst>
            <a:ext uri="{FF2B5EF4-FFF2-40B4-BE49-F238E27FC236}">
              <a16:creationId xmlns:a16="http://schemas.microsoft.com/office/drawing/2014/main" id="{949336C5-B64C-4E04-A9A0-20CA06B97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57" name="Picture 1105" descr="spacer">
          <a:extLst>
            <a:ext uri="{FF2B5EF4-FFF2-40B4-BE49-F238E27FC236}">
              <a16:creationId xmlns:a16="http://schemas.microsoft.com/office/drawing/2014/main" id="{A9FB7ED6-4DFD-484A-805D-74EE9313B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58" name="Picture 1106" descr="spacer">
          <a:extLst>
            <a:ext uri="{FF2B5EF4-FFF2-40B4-BE49-F238E27FC236}">
              <a16:creationId xmlns:a16="http://schemas.microsoft.com/office/drawing/2014/main" id="{CFD775AF-FEAA-44A7-A9D2-3FDAEBA06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59" name="Picture 1107" descr="spacer">
          <a:extLst>
            <a:ext uri="{FF2B5EF4-FFF2-40B4-BE49-F238E27FC236}">
              <a16:creationId xmlns:a16="http://schemas.microsoft.com/office/drawing/2014/main" id="{86033858-2EBD-417C-865B-8CDFBF816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60" name="Picture 1108" descr="spacer">
          <a:extLst>
            <a:ext uri="{FF2B5EF4-FFF2-40B4-BE49-F238E27FC236}">
              <a16:creationId xmlns:a16="http://schemas.microsoft.com/office/drawing/2014/main" id="{E30BBEBD-F249-470C-9B19-EC4015864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261" name="Picture 1111" descr="spacer">
          <a:extLst>
            <a:ext uri="{FF2B5EF4-FFF2-40B4-BE49-F238E27FC236}">
              <a16:creationId xmlns:a16="http://schemas.microsoft.com/office/drawing/2014/main" id="{7943CB24-81BE-44E4-8B2D-A1B06ACE2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62" name="Picture 1113" descr="spacer">
          <a:extLst>
            <a:ext uri="{FF2B5EF4-FFF2-40B4-BE49-F238E27FC236}">
              <a16:creationId xmlns:a16="http://schemas.microsoft.com/office/drawing/2014/main" id="{EC4B1C12-AC6B-4CBE-85E0-9647C0DB74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63" name="Picture 1114" descr="spacer">
          <a:extLst>
            <a:ext uri="{FF2B5EF4-FFF2-40B4-BE49-F238E27FC236}">
              <a16:creationId xmlns:a16="http://schemas.microsoft.com/office/drawing/2014/main" id="{D462E83B-0FDC-467F-8DFE-2BC3409C5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64" name="Picture 1115" descr="spacer">
          <a:extLst>
            <a:ext uri="{FF2B5EF4-FFF2-40B4-BE49-F238E27FC236}">
              <a16:creationId xmlns:a16="http://schemas.microsoft.com/office/drawing/2014/main" id="{8131ABA0-CFE2-4002-ABD9-8B6C9D632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65" name="Picture 1116" descr="spacer">
          <a:extLst>
            <a:ext uri="{FF2B5EF4-FFF2-40B4-BE49-F238E27FC236}">
              <a16:creationId xmlns:a16="http://schemas.microsoft.com/office/drawing/2014/main" id="{2E270144-9705-4111-A414-8E7F2037E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66" name="Picture 1117" descr="spacer">
          <a:extLst>
            <a:ext uri="{FF2B5EF4-FFF2-40B4-BE49-F238E27FC236}">
              <a16:creationId xmlns:a16="http://schemas.microsoft.com/office/drawing/2014/main" id="{B17B101C-51A0-4A98-B158-264ADEB80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67" name="Picture 1118" descr="spacer">
          <a:extLst>
            <a:ext uri="{FF2B5EF4-FFF2-40B4-BE49-F238E27FC236}">
              <a16:creationId xmlns:a16="http://schemas.microsoft.com/office/drawing/2014/main" id="{0BC851C2-E598-47C0-AC46-6C264795A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68" name="Picture 1119" descr="spacer">
          <a:extLst>
            <a:ext uri="{FF2B5EF4-FFF2-40B4-BE49-F238E27FC236}">
              <a16:creationId xmlns:a16="http://schemas.microsoft.com/office/drawing/2014/main" id="{B4039389-586B-4074-B8E5-C0652603B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69" name="Picture 1120" descr="spacer">
          <a:extLst>
            <a:ext uri="{FF2B5EF4-FFF2-40B4-BE49-F238E27FC236}">
              <a16:creationId xmlns:a16="http://schemas.microsoft.com/office/drawing/2014/main" id="{604BFB09-01E7-4A49-A3F4-7DE235A10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70" name="Picture 1121" descr="spacer">
          <a:extLst>
            <a:ext uri="{FF2B5EF4-FFF2-40B4-BE49-F238E27FC236}">
              <a16:creationId xmlns:a16="http://schemas.microsoft.com/office/drawing/2014/main" id="{8A54ED29-E4D6-4D9B-97EA-942DE2A2E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71" name="Picture 1122" descr="spacer">
          <a:extLst>
            <a:ext uri="{FF2B5EF4-FFF2-40B4-BE49-F238E27FC236}">
              <a16:creationId xmlns:a16="http://schemas.microsoft.com/office/drawing/2014/main" id="{162B7518-28B4-48AD-B194-ACB2081EE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272" name="Picture 1125" descr="spacer">
          <a:extLst>
            <a:ext uri="{FF2B5EF4-FFF2-40B4-BE49-F238E27FC236}">
              <a16:creationId xmlns:a16="http://schemas.microsoft.com/office/drawing/2014/main" id="{7D3368CC-5E15-42BA-B508-E55981517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73" name="Picture 1127" descr="spacer">
          <a:extLst>
            <a:ext uri="{FF2B5EF4-FFF2-40B4-BE49-F238E27FC236}">
              <a16:creationId xmlns:a16="http://schemas.microsoft.com/office/drawing/2014/main" id="{9D293179-42DA-4F46-96E0-108B505C7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74" name="Picture 1128" descr="spacer">
          <a:extLst>
            <a:ext uri="{FF2B5EF4-FFF2-40B4-BE49-F238E27FC236}">
              <a16:creationId xmlns:a16="http://schemas.microsoft.com/office/drawing/2014/main" id="{E721A118-CA75-4A64-BEF8-C816FE93A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75" name="Picture 1129" descr="spacer">
          <a:extLst>
            <a:ext uri="{FF2B5EF4-FFF2-40B4-BE49-F238E27FC236}">
              <a16:creationId xmlns:a16="http://schemas.microsoft.com/office/drawing/2014/main" id="{DF1E1636-F02D-4A7C-A261-0F6EDAC64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76" name="Picture 1130" descr="spacer">
          <a:extLst>
            <a:ext uri="{FF2B5EF4-FFF2-40B4-BE49-F238E27FC236}">
              <a16:creationId xmlns:a16="http://schemas.microsoft.com/office/drawing/2014/main" id="{81AD4330-C0AE-4C7C-9B64-8E5FF2582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77" name="Picture 1131" descr="spacer">
          <a:extLst>
            <a:ext uri="{FF2B5EF4-FFF2-40B4-BE49-F238E27FC236}">
              <a16:creationId xmlns:a16="http://schemas.microsoft.com/office/drawing/2014/main" id="{92EB587D-D599-4B42-90BA-21EB8C1FE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78" name="Picture 1132" descr="spacer">
          <a:extLst>
            <a:ext uri="{FF2B5EF4-FFF2-40B4-BE49-F238E27FC236}">
              <a16:creationId xmlns:a16="http://schemas.microsoft.com/office/drawing/2014/main" id="{7C4783E6-BA4A-4F47-9999-95F5E943B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79" name="Picture 1133" descr="spacer">
          <a:extLst>
            <a:ext uri="{FF2B5EF4-FFF2-40B4-BE49-F238E27FC236}">
              <a16:creationId xmlns:a16="http://schemas.microsoft.com/office/drawing/2014/main" id="{E1EBE81E-3D59-4CDB-BAC1-80D7C7BA6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80" name="Picture 1134" descr="spacer">
          <a:extLst>
            <a:ext uri="{FF2B5EF4-FFF2-40B4-BE49-F238E27FC236}">
              <a16:creationId xmlns:a16="http://schemas.microsoft.com/office/drawing/2014/main" id="{EB7985D0-0912-4BF6-A2F8-5695B781A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81" name="Picture 1135" descr="spacer">
          <a:extLst>
            <a:ext uri="{FF2B5EF4-FFF2-40B4-BE49-F238E27FC236}">
              <a16:creationId xmlns:a16="http://schemas.microsoft.com/office/drawing/2014/main" id="{D061CF13-08DB-4740-B006-BFEE7117A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82" name="Picture 1136" descr="spacer">
          <a:extLst>
            <a:ext uri="{FF2B5EF4-FFF2-40B4-BE49-F238E27FC236}">
              <a16:creationId xmlns:a16="http://schemas.microsoft.com/office/drawing/2014/main" id="{3C8D0845-B278-4357-9D69-F27D321D3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83" name="Picture 1137" descr="spacer">
          <a:extLst>
            <a:ext uri="{FF2B5EF4-FFF2-40B4-BE49-F238E27FC236}">
              <a16:creationId xmlns:a16="http://schemas.microsoft.com/office/drawing/2014/main" id="{018CB44D-BBB2-4086-9F73-51FC3F589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284" name="Picture 1140" descr="spacer">
          <a:extLst>
            <a:ext uri="{FF2B5EF4-FFF2-40B4-BE49-F238E27FC236}">
              <a16:creationId xmlns:a16="http://schemas.microsoft.com/office/drawing/2014/main" id="{F6351AF3-553C-4A17-B877-08ED79F11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85" name="Picture 1142" descr="spacer">
          <a:extLst>
            <a:ext uri="{FF2B5EF4-FFF2-40B4-BE49-F238E27FC236}">
              <a16:creationId xmlns:a16="http://schemas.microsoft.com/office/drawing/2014/main" id="{90B4B4A1-B001-4281-892C-AEB5A9267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86" name="Picture 1143" descr="spacer">
          <a:extLst>
            <a:ext uri="{FF2B5EF4-FFF2-40B4-BE49-F238E27FC236}">
              <a16:creationId xmlns:a16="http://schemas.microsoft.com/office/drawing/2014/main" id="{001074F6-61CB-444B-9BA1-BA32BDC76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87" name="Picture 1144" descr="spacer">
          <a:extLst>
            <a:ext uri="{FF2B5EF4-FFF2-40B4-BE49-F238E27FC236}">
              <a16:creationId xmlns:a16="http://schemas.microsoft.com/office/drawing/2014/main" id="{CBA9E69C-BD84-46CB-90B5-F716C153A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88" name="Picture 1145" descr="spacer">
          <a:extLst>
            <a:ext uri="{FF2B5EF4-FFF2-40B4-BE49-F238E27FC236}">
              <a16:creationId xmlns:a16="http://schemas.microsoft.com/office/drawing/2014/main" id="{8D0A3368-3BD4-4922-A997-736F8DC08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89" name="Picture 1146" descr="spacer">
          <a:extLst>
            <a:ext uri="{FF2B5EF4-FFF2-40B4-BE49-F238E27FC236}">
              <a16:creationId xmlns:a16="http://schemas.microsoft.com/office/drawing/2014/main" id="{5643C39E-2394-4512-B297-B3EE49410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90" name="Picture 1147" descr="spacer">
          <a:extLst>
            <a:ext uri="{FF2B5EF4-FFF2-40B4-BE49-F238E27FC236}">
              <a16:creationId xmlns:a16="http://schemas.microsoft.com/office/drawing/2014/main" id="{CCA4F0AA-E5E3-408A-841D-FD221E60A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91" name="Picture 1148" descr="spacer">
          <a:extLst>
            <a:ext uri="{FF2B5EF4-FFF2-40B4-BE49-F238E27FC236}">
              <a16:creationId xmlns:a16="http://schemas.microsoft.com/office/drawing/2014/main" id="{AE446A19-56D2-478B-BFE2-3B9C9B268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92" name="Picture 1149" descr="spacer">
          <a:extLst>
            <a:ext uri="{FF2B5EF4-FFF2-40B4-BE49-F238E27FC236}">
              <a16:creationId xmlns:a16="http://schemas.microsoft.com/office/drawing/2014/main" id="{ECC090CE-9801-48FC-A10E-2E299A974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93" name="Picture 1150" descr="spacer">
          <a:extLst>
            <a:ext uri="{FF2B5EF4-FFF2-40B4-BE49-F238E27FC236}">
              <a16:creationId xmlns:a16="http://schemas.microsoft.com/office/drawing/2014/main" id="{82B84FB4-0F9D-426B-A84F-B1D788899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94" name="Picture 1151" descr="spacer">
          <a:extLst>
            <a:ext uri="{FF2B5EF4-FFF2-40B4-BE49-F238E27FC236}">
              <a16:creationId xmlns:a16="http://schemas.microsoft.com/office/drawing/2014/main" id="{8D2CB5B5-129C-4C24-A8B9-9B9430211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95" name="Picture 1152" descr="spacer">
          <a:extLst>
            <a:ext uri="{FF2B5EF4-FFF2-40B4-BE49-F238E27FC236}">
              <a16:creationId xmlns:a16="http://schemas.microsoft.com/office/drawing/2014/main" id="{04D67990-4ECB-419C-B3A4-2A13662ADD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96" name="Picture 1153" descr="spacer">
          <a:extLst>
            <a:ext uri="{FF2B5EF4-FFF2-40B4-BE49-F238E27FC236}">
              <a16:creationId xmlns:a16="http://schemas.microsoft.com/office/drawing/2014/main" id="{41FBCFD9-46A1-4620-8FCD-D955CFA9E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97" name="Picture 1154" descr="spacer">
          <a:extLst>
            <a:ext uri="{FF2B5EF4-FFF2-40B4-BE49-F238E27FC236}">
              <a16:creationId xmlns:a16="http://schemas.microsoft.com/office/drawing/2014/main" id="{D85E820A-45B7-4B9A-A6C7-3108902A9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298" name="Picture 1155" descr="spacer">
          <a:extLst>
            <a:ext uri="{FF2B5EF4-FFF2-40B4-BE49-F238E27FC236}">
              <a16:creationId xmlns:a16="http://schemas.microsoft.com/office/drawing/2014/main" id="{D4215F03-C65E-4848-A79F-A990A93F4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299" name="Picture 1158" descr="spacer">
          <a:extLst>
            <a:ext uri="{FF2B5EF4-FFF2-40B4-BE49-F238E27FC236}">
              <a16:creationId xmlns:a16="http://schemas.microsoft.com/office/drawing/2014/main" id="{E1A899AD-A31E-40C3-9956-398583FF0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00" name="Picture 1160" descr="spacer">
          <a:extLst>
            <a:ext uri="{FF2B5EF4-FFF2-40B4-BE49-F238E27FC236}">
              <a16:creationId xmlns:a16="http://schemas.microsoft.com/office/drawing/2014/main" id="{A484CA3D-DA35-49D9-BC32-874090CC6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01" name="Picture 1161" descr="spacer">
          <a:extLst>
            <a:ext uri="{FF2B5EF4-FFF2-40B4-BE49-F238E27FC236}">
              <a16:creationId xmlns:a16="http://schemas.microsoft.com/office/drawing/2014/main" id="{51E24DE2-EA3B-4FF5-BEB1-19FA22E49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02" name="Picture 1162" descr="spacer">
          <a:extLst>
            <a:ext uri="{FF2B5EF4-FFF2-40B4-BE49-F238E27FC236}">
              <a16:creationId xmlns:a16="http://schemas.microsoft.com/office/drawing/2014/main" id="{C6D3EFCF-EEDE-4A3C-B2CF-7D9C8E8EC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03" name="Picture 1163" descr="spacer">
          <a:extLst>
            <a:ext uri="{FF2B5EF4-FFF2-40B4-BE49-F238E27FC236}">
              <a16:creationId xmlns:a16="http://schemas.microsoft.com/office/drawing/2014/main" id="{1B1ABBD1-FE74-4F70-9832-8D4692F3D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04" name="Picture 1164" descr="spacer">
          <a:extLst>
            <a:ext uri="{FF2B5EF4-FFF2-40B4-BE49-F238E27FC236}">
              <a16:creationId xmlns:a16="http://schemas.microsoft.com/office/drawing/2014/main" id="{6FD2A6E6-6834-4BD4-A3B7-C22911279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05" name="Picture 1165" descr="spacer">
          <a:extLst>
            <a:ext uri="{FF2B5EF4-FFF2-40B4-BE49-F238E27FC236}">
              <a16:creationId xmlns:a16="http://schemas.microsoft.com/office/drawing/2014/main" id="{11729B13-AE1E-4B25-9453-7558601293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06" name="Picture 1166" descr="spacer">
          <a:extLst>
            <a:ext uri="{FF2B5EF4-FFF2-40B4-BE49-F238E27FC236}">
              <a16:creationId xmlns:a16="http://schemas.microsoft.com/office/drawing/2014/main" id="{2BA72694-BC1A-47A1-B333-89C662AD5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07" name="Picture 1167" descr="spacer">
          <a:extLst>
            <a:ext uri="{FF2B5EF4-FFF2-40B4-BE49-F238E27FC236}">
              <a16:creationId xmlns:a16="http://schemas.microsoft.com/office/drawing/2014/main" id="{8F62EB6C-5774-47DB-AB6A-98969A3FC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08" name="Picture 1168" descr="spacer">
          <a:extLst>
            <a:ext uri="{FF2B5EF4-FFF2-40B4-BE49-F238E27FC236}">
              <a16:creationId xmlns:a16="http://schemas.microsoft.com/office/drawing/2014/main" id="{83873A4B-9912-423D-9C78-1E0CD3E18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09" name="Picture 1169" descr="spacer">
          <a:extLst>
            <a:ext uri="{FF2B5EF4-FFF2-40B4-BE49-F238E27FC236}">
              <a16:creationId xmlns:a16="http://schemas.microsoft.com/office/drawing/2014/main" id="{8F48422E-3361-4F3B-8B3B-02C7A8086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10" name="Picture 1170" descr="spacer">
          <a:extLst>
            <a:ext uri="{FF2B5EF4-FFF2-40B4-BE49-F238E27FC236}">
              <a16:creationId xmlns:a16="http://schemas.microsoft.com/office/drawing/2014/main" id="{25C2485A-A1B2-4D03-860B-394EF0DCD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11" name="Picture 1171" descr="spacer">
          <a:extLst>
            <a:ext uri="{FF2B5EF4-FFF2-40B4-BE49-F238E27FC236}">
              <a16:creationId xmlns:a16="http://schemas.microsoft.com/office/drawing/2014/main" id="{2313DB0A-D6D7-44D8-80A9-303B9EBD1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12" name="Picture 1172" descr="spacer">
          <a:extLst>
            <a:ext uri="{FF2B5EF4-FFF2-40B4-BE49-F238E27FC236}">
              <a16:creationId xmlns:a16="http://schemas.microsoft.com/office/drawing/2014/main" id="{AA029503-C48B-4BDE-A0B0-7892478DD0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313" name="Picture 1175" descr="spacer">
          <a:extLst>
            <a:ext uri="{FF2B5EF4-FFF2-40B4-BE49-F238E27FC236}">
              <a16:creationId xmlns:a16="http://schemas.microsoft.com/office/drawing/2014/main" id="{B6F7E3C9-133F-4507-9931-8D129D177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14" name="Picture 1177" descr="spacer">
          <a:extLst>
            <a:ext uri="{FF2B5EF4-FFF2-40B4-BE49-F238E27FC236}">
              <a16:creationId xmlns:a16="http://schemas.microsoft.com/office/drawing/2014/main" id="{0A159F1A-997E-49BB-826E-B83370803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15" name="Picture 1178" descr="spacer">
          <a:extLst>
            <a:ext uri="{FF2B5EF4-FFF2-40B4-BE49-F238E27FC236}">
              <a16:creationId xmlns:a16="http://schemas.microsoft.com/office/drawing/2014/main" id="{E75FF67D-80DD-4A38-8639-0464B2947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16" name="Picture 1179" descr="spacer">
          <a:extLst>
            <a:ext uri="{FF2B5EF4-FFF2-40B4-BE49-F238E27FC236}">
              <a16:creationId xmlns:a16="http://schemas.microsoft.com/office/drawing/2014/main" id="{B343C098-324B-4B6A-94A8-2F3E57445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17" name="Picture 1180" descr="spacer">
          <a:extLst>
            <a:ext uri="{FF2B5EF4-FFF2-40B4-BE49-F238E27FC236}">
              <a16:creationId xmlns:a16="http://schemas.microsoft.com/office/drawing/2014/main" id="{FF7BC5DB-5C20-4A05-BFFD-6D05CB75E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18" name="Picture 1181" descr="spacer">
          <a:extLst>
            <a:ext uri="{FF2B5EF4-FFF2-40B4-BE49-F238E27FC236}">
              <a16:creationId xmlns:a16="http://schemas.microsoft.com/office/drawing/2014/main" id="{3FA723AD-0618-4F65-B275-53888F9423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19" name="Picture 1182" descr="spacer">
          <a:extLst>
            <a:ext uri="{FF2B5EF4-FFF2-40B4-BE49-F238E27FC236}">
              <a16:creationId xmlns:a16="http://schemas.microsoft.com/office/drawing/2014/main" id="{D94D226E-8810-4820-8906-7CBB73363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20" name="Picture 1183" descr="spacer">
          <a:extLst>
            <a:ext uri="{FF2B5EF4-FFF2-40B4-BE49-F238E27FC236}">
              <a16:creationId xmlns:a16="http://schemas.microsoft.com/office/drawing/2014/main" id="{9E20F1C8-971A-4DBA-9D64-2FF4FB936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21" name="Picture 1184" descr="spacer">
          <a:extLst>
            <a:ext uri="{FF2B5EF4-FFF2-40B4-BE49-F238E27FC236}">
              <a16:creationId xmlns:a16="http://schemas.microsoft.com/office/drawing/2014/main" id="{9D1537A7-6E78-4983-ADB5-DEF62945A2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22" name="Picture 1185" descr="spacer">
          <a:extLst>
            <a:ext uri="{FF2B5EF4-FFF2-40B4-BE49-F238E27FC236}">
              <a16:creationId xmlns:a16="http://schemas.microsoft.com/office/drawing/2014/main" id="{CC6BD376-12E4-4947-ACF0-09D7A092E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23" name="Picture 1186" descr="spacer">
          <a:extLst>
            <a:ext uri="{FF2B5EF4-FFF2-40B4-BE49-F238E27FC236}">
              <a16:creationId xmlns:a16="http://schemas.microsoft.com/office/drawing/2014/main" id="{8A63DDB9-106F-4DC1-B649-53F54B26C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24" name="Picture 1187" descr="spacer">
          <a:extLst>
            <a:ext uri="{FF2B5EF4-FFF2-40B4-BE49-F238E27FC236}">
              <a16:creationId xmlns:a16="http://schemas.microsoft.com/office/drawing/2014/main" id="{C6A07BBE-15A5-45D4-B662-93B2137E30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25" name="Picture 1188" descr="spacer">
          <a:extLst>
            <a:ext uri="{FF2B5EF4-FFF2-40B4-BE49-F238E27FC236}">
              <a16:creationId xmlns:a16="http://schemas.microsoft.com/office/drawing/2014/main" id="{EF83EF4F-E5F5-4708-A0E5-6F48F74E95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26" name="Picture 1189" descr="spacer">
          <a:extLst>
            <a:ext uri="{FF2B5EF4-FFF2-40B4-BE49-F238E27FC236}">
              <a16:creationId xmlns:a16="http://schemas.microsoft.com/office/drawing/2014/main" id="{1155C87E-AD32-41A1-8434-706E240C6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27" name="Picture 1190" descr="spacer">
          <a:extLst>
            <a:ext uri="{FF2B5EF4-FFF2-40B4-BE49-F238E27FC236}">
              <a16:creationId xmlns:a16="http://schemas.microsoft.com/office/drawing/2014/main" id="{C6781AE8-7670-4FC0-97E5-0E8DF202B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328" name="Picture 1193" descr="spacer">
          <a:extLst>
            <a:ext uri="{FF2B5EF4-FFF2-40B4-BE49-F238E27FC236}">
              <a16:creationId xmlns:a16="http://schemas.microsoft.com/office/drawing/2014/main" id="{0EFADE3E-E873-4430-A16F-AB0194437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29" name="Picture 1195" descr="spacer">
          <a:extLst>
            <a:ext uri="{FF2B5EF4-FFF2-40B4-BE49-F238E27FC236}">
              <a16:creationId xmlns:a16="http://schemas.microsoft.com/office/drawing/2014/main" id="{D4A4BDF4-B7D0-4D88-8A10-E1202D1A8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30" name="Picture 1196" descr="spacer">
          <a:extLst>
            <a:ext uri="{FF2B5EF4-FFF2-40B4-BE49-F238E27FC236}">
              <a16:creationId xmlns:a16="http://schemas.microsoft.com/office/drawing/2014/main" id="{CCDEA118-7CC5-47C1-B7D6-17F275458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31" name="Picture 1197" descr="spacer">
          <a:extLst>
            <a:ext uri="{FF2B5EF4-FFF2-40B4-BE49-F238E27FC236}">
              <a16:creationId xmlns:a16="http://schemas.microsoft.com/office/drawing/2014/main" id="{46D3D09C-541B-4912-AA9C-BD4F18168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32" name="Picture 1198" descr="spacer">
          <a:extLst>
            <a:ext uri="{FF2B5EF4-FFF2-40B4-BE49-F238E27FC236}">
              <a16:creationId xmlns:a16="http://schemas.microsoft.com/office/drawing/2014/main" id="{1E20DE17-296F-41C5-AC5E-09BC58277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33" name="Picture 1199" descr="spacer">
          <a:extLst>
            <a:ext uri="{FF2B5EF4-FFF2-40B4-BE49-F238E27FC236}">
              <a16:creationId xmlns:a16="http://schemas.microsoft.com/office/drawing/2014/main" id="{132DE50C-53C8-4F90-84AC-D81099209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34" name="Picture 1200" descr="spacer">
          <a:extLst>
            <a:ext uri="{FF2B5EF4-FFF2-40B4-BE49-F238E27FC236}">
              <a16:creationId xmlns:a16="http://schemas.microsoft.com/office/drawing/2014/main" id="{AF967323-CE77-4232-9595-C933E6580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35" name="Picture 1201" descr="spacer">
          <a:extLst>
            <a:ext uri="{FF2B5EF4-FFF2-40B4-BE49-F238E27FC236}">
              <a16:creationId xmlns:a16="http://schemas.microsoft.com/office/drawing/2014/main" id="{9FBD9B62-5A70-41C8-B945-DD409DABA2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36" name="Picture 1202" descr="spacer">
          <a:extLst>
            <a:ext uri="{FF2B5EF4-FFF2-40B4-BE49-F238E27FC236}">
              <a16:creationId xmlns:a16="http://schemas.microsoft.com/office/drawing/2014/main" id="{F48D8032-FD3E-406D-B0EC-357D23160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37" name="Picture 1203" descr="spacer">
          <a:extLst>
            <a:ext uri="{FF2B5EF4-FFF2-40B4-BE49-F238E27FC236}">
              <a16:creationId xmlns:a16="http://schemas.microsoft.com/office/drawing/2014/main" id="{53D7CFA6-C992-49F8-A940-53C2F4763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38" name="Picture 1204" descr="spacer">
          <a:extLst>
            <a:ext uri="{FF2B5EF4-FFF2-40B4-BE49-F238E27FC236}">
              <a16:creationId xmlns:a16="http://schemas.microsoft.com/office/drawing/2014/main" id="{7F570683-5957-43C3-882D-539482B08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39" name="Picture 1205" descr="spacer">
          <a:extLst>
            <a:ext uri="{FF2B5EF4-FFF2-40B4-BE49-F238E27FC236}">
              <a16:creationId xmlns:a16="http://schemas.microsoft.com/office/drawing/2014/main" id="{5BAFEF97-B727-45B4-AB70-C5A385204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40" name="Picture 1206" descr="spacer">
          <a:extLst>
            <a:ext uri="{FF2B5EF4-FFF2-40B4-BE49-F238E27FC236}">
              <a16:creationId xmlns:a16="http://schemas.microsoft.com/office/drawing/2014/main" id="{84AAFCD2-C548-4ACE-94D4-7B1E5D95B2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41" name="Picture 1207" descr="spacer">
          <a:extLst>
            <a:ext uri="{FF2B5EF4-FFF2-40B4-BE49-F238E27FC236}">
              <a16:creationId xmlns:a16="http://schemas.microsoft.com/office/drawing/2014/main" id="{46FEB8A4-40A3-4FA6-997A-A929A45E1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342" name="Picture 1210" descr="spacer">
          <a:extLst>
            <a:ext uri="{FF2B5EF4-FFF2-40B4-BE49-F238E27FC236}">
              <a16:creationId xmlns:a16="http://schemas.microsoft.com/office/drawing/2014/main" id="{49277A80-CD9E-42AA-8BA6-03DCB0A5A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43" name="Picture 1212" descr="spacer">
          <a:extLst>
            <a:ext uri="{FF2B5EF4-FFF2-40B4-BE49-F238E27FC236}">
              <a16:creationId xmlns:a16="http://schemas.microsoft.com/office/drawing/2014/main" id="{796076C5-E23B-49D8-8D9A-77040B835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44" name="Picture 1213" descr="spacer">
          <a:extLst>
            <a:ext uri="{FF2B5EF4-FFF2-40B4-BE49-F238E27FC236}">
              <a16:creationId xmlns:a16="http://schemas.microsoft.com/office/drawing/2014/main" id="{A022348D-7336-41A5-835C-237658E75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45" name="Picture 1214" descr="spacer">
          <a:extLst>
            <a:ext uri="{FF2B5EF4-FFF2-40B4-BE49-F238E27FC236}">
              <a16:creationId xmlns:a16="http://schemas.microsoft.com/office/drawing/2014/main" id="{D4BF47DB-BB8A-49F7-AD05-A45CCD20C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46" name="Picture 1215" descr="spacer">
          <a:extLst>
            <a:ext uri="{FF2B5EF4-FFF2-40B4-BE49-F238E27FC236}">
              <a16:creationId xmlns:a16="http://schemas.microsoft.com/office/drawing/2014/main" id="{E8A2A6A8-888B-46D1-A189-4BBD21DC0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47" name="Picture 1216" descr="spacer">
          <a:extLst>
            <a:ext uri="{FF2B5EF4-FFF2-40B4-BE49-F238E27FC236}">
              <a16:creationId xmlns:a16="http://schemas.microsoft.com/office/drawing/2014/main" id="{CE923BD0-F716-4CD0-98A3-74AD29554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48" name="Picture 1217" descr="spacer">
          <a:extLst>
            <a:ext uri="{FF2B5EF4-FFF2-40B4-BE49-F238E27FC236}">
              <a16:creationId xmlns:a16="http://schemas.microsoft.com/office/drawing/2014/main" id="{384EC55F-63A6-41DD-878C-2B178B274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49" name="Picture 1218" descr="spacer">
          <a:extLst>
            <a:ext uri="{FF2B5EF4-FFF2-40B4-BE49-F238E27FC236}">
              <a16:creationId xmlns:a16="http://schemas.microsoft.com/office/drawing/2014/main" id="{F40303F6-6947-4FCB-AE50-506D14E088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50" name="Picture 1219" descr="spacer">
          <a:extLst>
            <a:ext uri="{FF2B5EF4-FFF2-40B4-BE49-F238E27FC236}">
              <a16:creationId xmlns:a16="http://schemas.microsoft.com/office/drawing/2014/main" id="{6DFFCA67-AD32-42AA-8DC7-D54A40FDA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51" name="Picture 1220" descr="spacer">
          <a:extLst>
            <a:ext uri="{FF2B5EF4-FFF2-40B4-BE49-F238E27FC236}">
              <a16:creationId xmlns:a16="http://schemas.microsoft.com/office/drawing/2014/main" id="{243F50BA-77E5-41D9-92C6-654020C178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352" name="Picture 1223" descr="spacer">
          <a:extLst>
            <a:ext uri="{FF2B5EF4-FFF2-40B4-BE49-F238E27FC236}">
              <a16:creationId xmlns:a16="http://schemas.microsoft.com/office/drawing/2014/main" id="{B1CA3C74-4565-4199-957F-389BCC7FB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53" name="Picture 1225" descr="spacer">
          <a:extLst>
            <a:ext uri="{FF2B5EF4-FFF2-40B4-BE49-F238E27FC236}">
              <a16:creationId xmlns:a16="http://schemas.microsoft.com/office/drawing/2014/main" id="{6EB05EF7-EF42-4A84-8DDF-14B6B15497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54" name="Picture 1226" descr="spacer">
          <a:extLst>
            <a:ext uri="{FF2B5EF4-FFF2-40B4-BE49-F238E27FC236}">
              <a16:creationId xmlns:a16="http://schemas.microsoft.com/office/drawing/2014/main" id="{66F853B5-90D0-4DED-9D90-6142E0A99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55" name="Picture 1227" descr="spacer">
          <a:extLst>
            <a:ext uri="{FF2B5EF4-FFF2-40B4-BE49-F238E27FC236}">
              <a16:creationId xmlns:a16="http://schemas.microsoft.com/office/drawing/2014/main" id="{C0AB5500-A9AC-476D-9C7C-1A771D95A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56" name="Picture 1228" descr="spacer">
          <a:extLst>
            <a:ext uri="{FF2B5EF4-FFF2-40B4-BE49-F238E27FC236}">
              <a16:creationId xmlns:a16="http://schemas.microsoft.com/office/drawing/2014/main" id="{C05FF817-97E2-4D05-9D46-B4630EF88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57" name="Picture 1229" descr="spacer">
          <a:extLst>
            <a:ext uri="{FF2B5EF4-FFF2-40B4-BE49-F238E27FC236}">
              <a16:creationId xmlns:a16="http://schemas.microsoft.com/office/drawing/2014/main" id="{5362ACEB-7EC9-4F31-BE6F-A40C22828D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58" name="Picture 1230" descr="spacer">
          <a:extLst>
            <a:ext uri="{FF2B5EF4-FFF2-40B4-BE49-F238E27FC236}">
              <a16:creationId xmlns:a16="http://schemas.microsoft.com/office/drawing/2014/main" id="{D4306D65-0EDA-481A-893C-2064943F2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59" name="Picture 1231" descr="spacer">
          <a:extLst>
            <a:ext uri="{FF2B5EF4-FFF2-40B4-BE49-F238E27FC236}">
              <a16:creationId xmlns:a16="http://schemas.microsoft.com/office/drawing/2014/main" id="{A7CDD6D4-0A56-4284-B512-497430A59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60" name="Picture 1232" descr="spacer">
          <a:extLst>
            <a:ext uri="{FF2B5EF4-FFF2-40B4-BE49-F238E27FC236}">
              <a16:creationId xmlns:a16="http://schemas.microsoft.com/office/drawing/2014/main" id="{93FEDCEC-4BC1-45E4-8C01-D3C4FB06A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61" name="Picture 1233" descr="spacer">
          <a:extLst>
            <a:ext uri="{FF2B5EF4-FFF2-40B4-BE49-F238E27FC236}">
              <a16:creationId xmlns:a16="http://schemas.microsoft.com/office/drawing/2014/main" id="{45C2F1E4-2B8A-4027-8894-DF777134E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62" name="Picture 1234" descr="spacer">
          <a:extLst>
            <a:ext uri="{FF2B5EF4-FFF2-40B4-BE49-F238E27FC236}">
              <a16:creationId xmlns:a16="http://schemas.microsoft.com/office/drawing/2014/main" id="{C724EEDF-12D5-4951-8655-D17E4B903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63" name="Picture 1235" descr="spacer">
          <a:extLst>
            <a:ext uri="{FF2B5EF4-FFF2-40B4-BE49-F238E27FC236}">
              <a16:creationId xmlns:a16="http://schemas.microsoft.com/office/drawing/2014/main" id="{88584B35-6172-48EF-9DB1-8412F19D1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64" name="Picture 1236" descr="spacer">
          <a:extLst>
            <a:ext uri="{FF2B5EF4-FFF2-40B4-BE49-F238E27FC236}">
              <a16:creationId xmlns:a16="http://schemas.microsoft.com/office/drawing/2014/main" id="{84EB1527-8384-4ABA-8E27-CE18A5273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65" name="Picture 1237" descr="spacer">
          <a:extLst>
            <a:ext uri="{FF2B5EF4-FFF2-40B4-BE49-F238E27FC236}">
              <a16:creationId xmlns:a16="http://schemas.microsoft.com/office/drawing/2014/main" id="{D5236495-7DFC-4C74-BC11-567AB0784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366" name="Picture 1240" descr="spacer">
          <a:extLst>
            <a:ext uri="{FF2B5EF4-FFF2-40B4-BE49-F238E27FC236}">
              <a16:creationId xmlns:a16="http://schemas.microsoft.com/office/drawing/2014/main" id="{EAF34EE7-4161-4C99-AD22-4B1E21F38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67" name="Picture 1242" descr="spacer">
          <a:extLst>
            <a:ext uri="{FF2B5EF4-FFF2-40B4-BE49-F238E27FC236}">
              <a16:creationId xmlns:a16="http://schemas.microsoft.com/office/drawing/2014/main" id="{C4DB17FB-F721-4956-9EDD-AC839EF9D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68" name="Picture 1243" descr="spacer">
          <a:extLst>
            <a:ext uri="{FF2B5EF4-FFF2-40B4-BE49-F238E27FC236}">
              <a16:creationId xmlns:a16="http://schemas.microsoft.com/office/drawing/2014/main" id="{CD960B73-FF61-4F0F-AD4C-147F7C8E72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69" name="Picture 1244" descr="spacer">
          <a:extLst>
            <a:ext uri="{FF2B5EF4-FFF2-40B4-BE49-F238E27FC236}">
              <a16:creationId xmlns:a16="http://schemas.microsoft.com/office/drawing/2014/main" id="{A153CC64-E2E8-4E32-90C6-CE9E3238F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70" name="Picture 1245" descr="spacer">
          <a:extLst>
            <a:ext uri="{FF2B5EF4-FFF2-40B4-BE49-F238E27FC236}">
              <a16:creationId xmlns:a16="http://schemas.microsoft.com/office/drawing/2014/main" id="{6158FDE7-B927-4A4D-92EF-67862FB86E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71" name="Picture 1246" descr="spacer">
          <a:extLst>
            <a:ext uri="{FF2B5EF4-FFF2-40B4-BE49-F238E27FC236}">
              <a16:creationId xmlns:a16="http://schemas.microsoft.com/office/drawing/2014/main" id="{87F1358D-A975-40EF-B193-C092F6356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72" name="Picture 1247" descr="spacer">
          <a:extLst>
            <a:ext uri="{FF2B5EF4-FFF2-40B4-BE49-F238E27FC236}">
              <a16:creationId xmlns:a16="http://schemas.microsoft.com/office/drawing/2014/main" id="{EA73B552-D480-4764-A7D2-EDC1280391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73" name="Picture 1248" descr="spacer">
          <a:extLst>
            <a:ext uri="{FF2B5EF4-FFF2-40B4-BE49-F238E27FC236}">
              <a16:creationId xmlns:a16="http://schemas.microsoft.com/office/drawing/2014/main" id="{F56A3F62-E23E-4F41-A495-A28C0B930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74" name="Picture 1249" descr="spacer">
          <a:extLst>
            <a:ext uri="{FF2B5EF4-FFF2-40B4-BE49-F238E27FC236}">
              <a16:creationId xmlns:a16="http://schemas.microsoft.com/office/drawing/2014/main" id="{D65824BB-2C0D-4432-8B2B-3EAE243A6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75" name="Picture 1250" descr="spacer">
          <a:extLst>
            <a:ext uri="{FF2B5EF4-FFF2-40B4-BE49-F238E27FC236}">
              <a16:creationId xmlns:a16="http://schemas.microsoft.com/office/drawing/2014/main" id="{8D911BAA-1BF1-4C4A-B077-D6588FEB2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76" name="Picture 1251" descr="spacer">
          <a:extLst>
            <a:ext uri="{FF2B5EF4-FFF2-40B4-BE49-F238E27FC236}">
              <a16:creationId xmlns:a16="http://schemas.microsoft.com/office/drawing/2014/main" id="{7652F7E7-C541-4B07-ACC1-B8903D57F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77" name="Picture 1252" descr="spacer">
          <a:extLst>
            <a:ext uri="{FF2B5EF4-FFF2-40B4-BE49-F238E27FC236}">
              <a16:creationId xmlns:a16="http://schemas.microsoft.com/office/drawing/2014/main" id="{D41E348C-2F92-4AE7-B810-D376A2058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78" name="Picture 1253" descr="spacer">
          <a:extLst>
            <a:ext uri="{FF2B5EF4-FFF2-40B4-BE49-F238E27FC236}">
              <a16:creationId xmlns:a16="http://schemas.microsoft.com/office/drawing/2014/main" id="{D87252D1-8295-4A9C-BCD2-D9A32F716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79" name="Picture 1254" descr="spacer">
          <a:extLst>
            <a:ext uri="{FF2B5EF4-FFF2-40B4-BE49-F238E27FC236}">
              <a16:creationId xmlns:a16="http://schemas.microsoft.com/office/drawing/2014/main" id="{FE66676E-9596-4975-8A87-92000A5B3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80" name="Picture 1255" descr="spacer">
          <a:extLst>
            <a:ext uri="{FF2B5EF4-FFF2-40B4-BE49-F238E27FC236}">
              <a16:creationId xmlns:a16="http://schemas.microsoft.com/office/drawing/2014/main" id="{9B59F713-CB36-4CFF-80CD-0E7DC6372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381" name="Picture 1258" descr="spacer">
          <a:extLst>
            <a:ext uri="{FF2B5EF4-FFF2-40B4-BE49-F238E27FC236}">
              <a16:creationId xmlns:a16="http://schemas.microsoft.com/office/drawing/2014/main" id="{AC51BBDE-0429-45FA-8360-65FC871F4A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82" name="Picture 1260" descr="spacer">
          <a:extLst>
            <a:ext uri="{FF2B5EF4-FFF2-40B4-BE49-F238E27FC236}">
              <a16:creationId xmlns:a16="http://schemas.microsoft.com/office/drawing/2014/main" id="{9FCDE050-FA93-481E-8128-984169843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83" name="Picture 1261" descr="spacer">
          <a:extLst>
            <a:ext uri="{FF2B5EF4-FFF2-40B4-BE49-F238E27FC236}">
              <a16:creationId xmlns:a16="http://schemas.microsoft.com/office/drawing/2014/main" id="{C6DA20B4-BC71-4976-AB62-95A1B0009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84" name="Picture 1262" descr="spacer">
          <a:extLst>
            <a:ext uri="{FF2B5EF4-FFF2-40B4-BE49-F238E27FC236}">
              <a16:creationId xmlns:a16="http://schemas.microsoft.com/office/drawing/2014/main" id="{6FFE8AD7-1AA7-4D9C-B980-12CFFEA11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85" name="Picture 1263" descr="spacer">
          <a:extLst>
            <a:ext uri="{FF2B5EF4-FFF2-40B4-BE49-F238E27FC236}">
              <a16:creationId xmlns:a16="http://schemas.microsoft.com/office/drawing/2014/main" id="{3C89A363-C8BF-4862-92FD-32C45BED2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86" name="Picture 1264" descr="spacer">
          <a:extLst>
            <a:ext uri="{FF2B5EF4-FFF2-40B4-BE49-F238E27FC236}">
              <a16:creationId xmlns:a16="http://schemas.microsoft.com/office/drawing/2014/main" id="{8B3CCD04-FCC7-462A-B702-6C3821034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87" name="Picture 1265" descr="spacer">
          <a:extLst>
            <a:ext uri="{FF2B5EF4-FFF2-40B4-BE49-F238E27FC236}">
              <a16:creationId xmlns:a16="http://schemas.microsoft.com/office/drawing/2014/main" id="{F24A6417-4CBD-4CBF-AA25-2CD825C70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88" name="Picture 1266" descr="spacer">
          <a:extLst>
            <a:ext uri="{FF2B5EF4-FFF2-40B4-BE49-F238E27FC236}">
              <a16:creationId xmlns:a16="http://schemas.microsoft.com/office/drawing/2014/main" id="{19BF0F41-1D9B-4973-95A1-2DCC40628C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89" name="Picture 1267" descr="spacer">
          <a:extLst>
            <a:ext uri="{FF2B5EF4-FFF2-40B4-BE49-F238E27FC236}">
              <a16:creationId xmlns:a16="http://schemas.microsoft.com/office/drawing/2014/main" id="{1EB065A1-8B8B-4D5A-B773-729B59246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90" name="Picture 1268" descr="spacer">
          <a:extLst>
            <a:ext uri="{FF2B5EF4-FFF2-40B4-BE49-F238E27FC236}">
              <a16:creationId xmlns:a16="http://schemas.microsoft.com/office/drawing/2014/main" id="{C9E945FF-6E7C-478F-A17D-2E82C1B14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91" name="Picture 1269" descr="spacer">
          <a:extLst>
            <a:ext uri="{FF2B5EF4-FFF2-40B4-BE49-F238E27FC236}">
              <a16:creationId xmlns:a16="http://schemas.microsoft.com/office/drawing/2014/main" id="{68774E37-2A6C-4E85-B45F-5071E155B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92" name="Picture 1270" descr="spacer">
          <a:extLst>
            <a:ext uri="{FF2B5EF4-FFF2-40B4-BE49-F238E27FC236}">
              <a16:creationId xmlns:a16="http://schemas.microsoft.com/office/drawing/2014/main" id="{B488AF9B-B515-4CFC-8E7E-794BCB0E2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93" name="Picture 1271" descr="spacer">
          <a:extLst>
            <a:ext uri="{FF2B5EF4-FFF2-40B4-BE49-F238E27FC236}">
              <a16:creationId xmlns:a16="http://schemas.microsoft.com/office/drawing/2014/main" id="{1C5844B2-634E-40E1-90DD-F7C163D89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94" name="Picture 1272" descr="spacer">
          <a:extLst>
            <a:ext uri="{FF2B5EF4-FFF2-40B4-BE49-F238E27FC236}">
              <a16:creationId xmlns:a16="http://schemas.microsoft.com/office/drawing/2014/main" id="{00A2AF51-FD26-4C51-8023-9B23075EE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395" name="Picture 1275" descr="spacer">
          <a:extLst>
            <a:ext uri="{FF2B5EF4-FFF2-40B4-BE49-F238E27FC236}">
              <a16:creationId xmlns:a16="http://schemas.microsoft.com/office/drawing/2014/main" id="{B08FB00B-D2DF-4743-97A0-7A11A1418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96" name="Picture 1277" descr="spacer">
          <a:extLst>
            <a:ext uri="{FF2B5EF4-FFF2-40B4-BE49-F238E27FC236}">
              <a16:creationId xmlns:a16="http://schemas.microsoft.com/office/drawing/2014/main" id="{AB043C3D-674E-43FD-A444-38871E3FE2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97" name="Picture 1278" descr="spacer">
          <a:extLst>
            <a:ext uri="{FF2B5EF4-FFF2-40B4-BE49-F238E27FC236}">
              <a16:creationId xmlns:a16="http://schemas.microsoft.com/office/drawing/2014/main" id="{8D68491F-C721-4E3E-93D9-EF02B56CF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98" name="Picture 1279" descr="spacer">
          <a:extLst>
            <a:ext uri="{FF2B5EF4-FFF2-40B4-BE49-F238E27FC236}">
              <a16:creationId xmlns:a16="http://schemas.microsoft.com/office/drawing/2014/main" id="{9A770A22-74CA-4FAF-ACB3-CFB75399D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399" name="Picture 1280" descr="spacer">
          <a:extLst>
            <a:ext uri="{FF2B5EF4-FFF2-40B4-BE49-F238E27FC236}">
              <a16:creationId xmlns:a16="http://schemas.microsoft.com/office/drawing/2014/main" id="{CC215332-5582-479C-A95B-D452BE51C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00" name="Picture 1281" descr="spacer">
          <a:extLst>
            <a:ext uri="{FF2B5EF4-FFF2-40B4-BE49-F238E27FC236}">
              <a16:creationId xmlns:a16="http://schemas.microsoft.com/office/drawing/2014/main" id="{C9283390-D054-4BE0-B54D-A7B59EFC8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01" name="Picture 1282" descr="spacer">
          <a:extLst>
            <a:ext uri="{FF2B5EF4-FFF2-40B4-BE49-F238E27FC236}">
              <a16:creationId xmlns:a16="http://schemas.microsoft.com/office/drawing/2014/main" id="{A23D4648-352B-4133-B91C-C73B5D2E3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02" name="Picture 1283" descr="spacer">
          <a:extLst>
            <a:ext uri="{FF2B5EF4-FFF2-40B4-BE49-F238E27FC236}">
              <a16:creationId xmlns:a16="http://schemas.microsoft.com/office/drawing/2014/main" id="{347F130B-ECB0-400F-80F1-4F3F1368B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03" name="Picture 1284" descr="spacer">
          <a:extLst>
            <a:ext uri="{FF2B5EF4-FFF2-40B4-BE49-F238E27FC236}">
              <a16:creationId xmlns:a16="http://schemas.microsoft.com/office/drawing/2014/main" id="{5E42011C-8CAA-4CD5-8E8E-E62954C78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04" name="Picture 1285" descr="spacer">
          <a:extLst>
            <a:ext uri="{FF2B5EF4-FFF2-40B4-BE49-F238E27FC236}">
              <a16:creationId xmlns:a16="http://schemas.microsoft.com/office/drawing/2014/main" id="{8F34E83B-DBFC-49A7-8EE2-CBACDA2A0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05" name="Picture 1286" descr="spacer">
          <a:extLst>
            <a:ext uri="{FF2B5EF4-FFF2-40B4-BE49-F238E27FC236}">
              <a16:creationId xmlns:a16="http://schemas.microsoft.com/office/drawing/2014/main" id="{7552E633-4C88-4397-8DF2-864C17E848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06" name="Picture 1287" descr="spacer">
          <a:extLst>
            <a:ext uri="{FF2B5EF4-FFF2-40B4-BE49-F238E27FC236}">
              <a16:creationId xmlns:a16="http://schemas.microsoft.com/office/drawing/2014/main" id="{3A20EB5B-E6DF-49A0-BB5C-795ABD201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07" name="Picture 1288" descr="spacer">
          <a:extLst>
            <a:ext uri="{FF2B5EF4-FFF2-40B4-BE49-F238E27FC236}">
              <a16:creationId xmlns:a16="http://schemas.microsoft.com/office/drawing/2014/main" id="{CB596F87-2F99-4447-9307-5B6470BA7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408" name="Picture 1291" descr="spacer">
          <a:extLst>
            <a:ext uri="{FF2B5EF4-FFF2-40B4-BE49-F238E27FC236}">
              <a16:creationId xmlns:a16="http://schemas.microsoft.com/office/drawing/2014/main" id="{F2D06565-AF0A-4E35-A7A6-3772E88F8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09" name="Picture 1293" descr="spacer">
          <a:extLst>
            <a:ext uri="{FF2B5EF4-FFF2-40B4-BE49-F238E27FC236}">
              <a16:creationId xmlns:a16="http://schemas.microsoft.com/office/drawing/2014/main" id="{B78E6A50-94F5-4803-839E-9DDBFCC9B8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10" name="Picture 1294" descr="spacer">
          <a:extLst>
            <a:ext uri="{FF2B5EF4-FFF2-40B4-BE49-F238E27FC236}">
              <a16:creationId xmlns:a16="http://schemas.microsoft.com/office/drawing/2014/main" id="{3CA6ADB5-D722-4F31-8C27-B370E58FF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11" name="Picture 1295" descr="spacer">
          <a:extLst>
            <a:ext uri="{FF2B5EF4-FFF2-40B4-BE49-F238E27FC236}">
              <a16:creationId xmlns:a16="http://schemas.microsoft.com/office/drawing/2014/main" id="{A4D870D1-1684-48C8-8478-A45985FA1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12" name="Picture 1296" descr="spacer">
          <a:extLst>
            <a:ext uri="{FF2B5EF4-FFF2-40B4-BE49-F238E27FC236}">
              <a16:creationId xmlns:a16="http://schemas.microsoft.com/office/drawing/2014/main" id="{221BE733-2561-4B1B-8B3B-5A6C7D86C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13" name="Picture 1297" descr="spacer">
          <a:extLst>
            <a:ext uri="{FF2B5EF4-FFF2-40B4-BE49-F238E27FC236}">
              <a16:creationId xmlns:a16="http://schemas.microsoft.com/office/drawing/2014/main" id="{F27DB02E-14C4-492E-A29F-72484EE9D3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14" name="Picture 1298" descr="spacer">
          <a:extLst>
            <a:ext uri="{FF2B5EF4-FFF2-40B4-BE49-F238E27FC236}">
              <a16:creationId xmlns:a16="http://schemas.microsoft.com/office/drawing/2014/main" id="{48655BBE-2A55-4691-A843-67FA16995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15" name="Picture 1299" descr="spacer">
          <a:extLst>
            <a:ext uri="{FF2B5EF4-FFF2-40B4-BE49-F238E27FC236}">
              <a16:creationId xmlns:a16="http://schemas.microsoft.com/office/drawing/2014/main" id="{F6D8D5B2-C74E-4F87-8091-1F3CB7BBC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16" name="Picture 1300" descr="spacer">
          <a:extLst>
            <a:ext uri="{FF2B5EF4-FFF2-40B4-BE49-F238E27FC236}">
              <a16:creationId xmlns:a16="http://schemas.microsoft.com/office/drawing/2014/main" id="{D0B23367-7FBE-49B6-99F1-E8E542C0C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17" name="Picture 1301" descr="spacer">
          <a:extLst>
            <a:ext uri="{FF2B5EF4-FFF2-40B4-BE49-F238E27FC236}">
              <a16:creationId xmlns:a16="http://schemas.microsoft.com/office/drawing/2014/main" id="{942F2BF0-3744-4A72-B299-93BC6D946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18" name="Picture 1302" descr="spacer">
          <a:extLst>
            <a:ext uri="{FF2B5EF4-FFF2-40B4-BE49-F238E27FC236}">
              <a16:creationId xmlns:a16="http://schemas.microsoft.com/office/drawing/2014/main" id="{19C412F3-8292-4550-85A9-390DB5DE1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19" name="Picture 1303" descr="spacer">
          <a:extLst>
            <a:ext uri="{FF2B5EF4-FFF2-40B4-BE49-F238E27FC236}">
              <a16:creationId xmlns:a16="http://schemas.microsoft.com/office/drawing/2014/main" id="{058F13AD-B9A1-474E-8133-CA56E7219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20" name="Picture 1304" descr="spacer">
          <a:extLst>
            <a:ext uri="{FF2B5EF4-FFF2-40B4-BE49-F238E27FC236}">
              <a16:creationId xmlns:a16="http://schemas.microsoft.com/office/drawing/2014/main" id="{92182C09-5A8C-4E5C-8F80-B97691380F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21" name="Picture 1305" descr="spacer">
          <a:extLst>
            <a:ext uri="{FF2B5EF4-FFF2-40B4-BE49-F238E27FC236}">
              <a16:creationId xmlns:a16="http://schemas.microsoft.com/office/drawing/2014/main" id="{99FE0D46-39A6-4386-A009-8D163DD22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422" name="Picture 1308" descr="spacer">
          <a:extLst>
            <a:ext uri="{FF2B5EF4-FFF2-40B4-BE49-F238E27FC236}">
              <a16:creationId xmlns:a16="http://schemas.microsoft.com/office/drawing/2014/main" id="{2874E95F-9C73-43EC-8F80-A98D16841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23" name="Picture 1310" descr="spacer">
          <a:extLst>
            <a:ext uri="{FF2B5EF4-FFF2-40B4-BE49-F238E27FC236}">
              <a16:creationId xmlns:a16="http://schemas.microsoft.com/office/drawing/2014/main" id="{FC6A0984-44B4-4D24-9331-EBC80E5C8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24" name="Picture 1311" descr="spacer">
          <a:extLst>
            <a:ext uri="{FF2B5EF4-FFF2-40B4-BE49-F238E27FC236}">
              <a16:creationId xmlns:a16="http://schemas.microsoft.com/office/drawing/2014/main" id="{16DE5241-BA6D-432A-A956-F8C2C3894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25" name="Picture 1312" descr="spacer">
          <a:extLst>
            <a:ext uri="{FF2B5EF4-FFF2-40B4-BE49-F238E27FC236}">
              <a16:creationId xmlns:a16="http://schemas.microsoft.com/office/drawing/2014/main" id="{FBD47872-9018-494D-9C7F-E76C4EE80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26" name="Picture 1313" descr="spacer">
          <a:extLst>
            <a:ext uri="{FF2B5EF4-FFF2-40B4-BE49-F238E27FC236}">
              <a16:creationId xmlns:a16="http://schemas.microsoft.com/office/drawing/2014/main" id="{042BD40F-C48A-4D2C-B500-18CB8575F9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27" name="Picture 1314" descr="spacer">
          <a:extLst>
            <a:ext uri="{FF2B5EF4-FFF2-40B4-BE49-F238E27FC236}">
              <a16:creationId xmlns:a16="http://schemas.microsoft.com/office/drawing/2014/main" id="{507CEFE1-CE53-4545-8A66-D65CE55F0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28" name="Picture 1315" descr="spacer">
          <a:extLst>
            <a:ext uri="{FF2B5EF4-FFF2-40B4-BE49-F238E27FC236}">
              <a16:creationId xmlns:a16="http://schemas.microsoft.com/office/drawing/2014/main" id="{8B7F1F7E-FD06-4DE9-AE08-BDB921708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29" name="Picture 1316" descr="spacer">
          <a:extLst>
            <a:ext uri="{FF2B5EF4-FFF2-40B4-BE49-F238E27FC236}">
              <a16:creationId xmlns:a16="http://schemas.microsoft.com/office/drawing/2014/main" id="{C5CB1422-F035-4F99-9A41-CAC4C6C62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30" name="Picture 1317" descr="spacer">
          <a:extLst>
            <a:ext uri="{FF2B5EF4-FFF2-40B4-BE49-F238E27FC236}">
              <a16:creationId xmlns:a16="http://schemas.microsoft.com/office/drawing/2014/main" id="{3248BA64-FE94-483C-A4F9-AD2EAF467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31" name="Picture 1318" descr="spacer">
          <a:extLst>
            <a:ext uri="{FF2B5EF4-FFF2-40B4-BE49-F238E27FC236}">
              <a16:creationId xmlns:a16="http://schemas.microsoft.com/office/drawing/2014/main" id="{F7C7455F-DA8B-4045-877F-C229B241D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32" name="Picture 1319" descr="spacer">
          <a:extLst>
            <a:ext uri="{FF2B5EF4-FFF2-40B4-BE49-F238E27FC236}">
              <a16:creationId xmlns:a16="http://schemas.microsoft.com/office/drawing/2014/main" id="{B5FE8E0E-6762-41F9-9BCE-6157376A1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33" name="Picture 1320" descr="spacer">
          <a:extLst>
            <a:ext uri="{FF2B5EF4-FFF2-40B4-BE49-F238E27FC236}">
              <a16:creationId xmlns:a16="http://schemas.microsoft.com/office/drawing/2014/main" id="{B5AC9E18-6C9D-45AE-884B-76D5EF2368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34" name="Picture 1321" descr="spacer">
          <a:extLst>
            <a:ext uri="{FF2B5EF4-FFF2-40B4-BE49-F238E27FC236}">
              <a16:creationId xmlns:a16="http://schemas.microsoft.com/office/drawing/2014/main" id="{5189CCF5-0E91-4291-B33C-3626824858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435" name="Picture 1324" descr="spacer">
          <a:extLst>
            <a:ext uri="{FF2B5EF4-FFF2-40B4-BE49-F238E27FC236}">
              <a16:creationId xmlns:a16="http://schemas.microsoft.com/office/drawing/2014/main" id="{2ED03865-1B1C-45AC-85C4-3FE95BE77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36" name="Picture 1326" descr="spacer">
          <a:extLst>
            <a:ext uri="{FF2B5EF4-FFF2-40B4-BE49-F238E27FC236}">
              <a16:creationId xmlns:a16="http://schemas.microsoft.com/office/drawing/2014/main" id="{236D347E-413B-47AD-9F6C-887BC3662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37" name="Picture 1327" descr="spacer">
          <a:extLst>
            <a:ext uri="{FF2B5EF4-FFF2-40B4-BE49-F238E27FC236}">
              <a16:creationId xmlns:a16="http://schemas.microsoft.com/office/drawing/2014/main" id="{5CFBEAC6-9DF1-4DEF-A7B0-B268E19E6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38" name="Picture 1328" descr="spacer">
          <a:extLst>
            <a:ext uri="{FF2B5EF4-FFF2-40B4-BE49-F238E27FC236}">
              <a16:creationId xmlns:a16="http://schemas.microsoft.com/office/drawing/2014/main" id="{7E7E96E7-55F6-47A4-9FDC-E108847EF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39" name="Picture 1329" descr="spacer">
          <a:extLst>
            <a:ext uri="{FF2B5EF4-FFF2-40B4-BE49-F238E27FC236}">
              <a16:creationId xmlns:a16="http://schemas.microsoft.com/office/drawing/2014/main" id="{3290FE0E-EFF7-4B15-883B-468ACB2E8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40" name="Picture 1330" descr="spacer">
          <a:extLst>
            <a:ext uri="{FF2B5EF4-FFF2-40B4-BE49-F238E27FC236}">
              <a16:creationId xmlns:a16="http://schemas.microsoft.com/office/drawing/2014/main" id="{FB766451-9C33-4CB6-88F2-5A7F45F13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41" name="Picture 1331" descr="spacer">
          <a:extLst>
            <a:ext uri="{FF2B5EF4-FFF2-40B4-BE49-F238E27FC236}">
              <a16:creationId xmlns:a16="http://schemas.microsoft.com/office/drawing/2014/main" id="{ED91DC96-86F0-44CB-A187-A560237375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42" name="Picture 1332" descr="spacer">
          <a:extLst>
            <a:ext uri="{FF2B5EF4-FFF2-40B4-BE49-F238E27FC236}">
              <a16:creationId xmlns:a16="http://schemas.microsoft.com/office/drawing/2014/main" id="{EC6CC9F5-0E84-4E8D-B97B-A707C3AD4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43" name="Picture 1333" descr="spacer">
          <a:extLst>
            <a:ext uri="{FF2B5EF4-FFF2-40B4-BE49-F238E27FC236}">
              <a16:creationId xmlns:a16="http://schemas.microsoft.com/office/drawing/2014/main" id="{0E685B19-D87E-4E42-8EDB-5256B5D93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44" name="Picture 1334" descr="spacer">
          <a:extLst>
            <a:ext uri="{FF2B5EF4-FFF2-40B4-BE49-F238E27FC236}">
              <a16:creationId xmlns:a16="http://schemas.microsoft.com/office/drawing/2014/main" id="{56417FE8-F7CA-4C0F-941C-F47E9071C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45" name="Picture 1335" descr="spacer">
          <a:extLst>
            <a:ext uri="{FF2B5EF4-FFF2-40B4-BE49-F238E27FC236}">
              <a16:creationId xmlns:a16="http://schemas.microsoft.com/office/drawing/2014/main" id="{1DEDC32B-4584-483B-B6C1-7C13EE4A6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46" name="Picture 1336" descr="spacer">
          <a:extLst>
            <a:ext uri="{FF2B5EF4-FFF2-40B4-BE49-F238E27FC236}">
              <a16:creationId xmlns:a16="http://schemas.microsoft.com/office/drawing/2014/main" id="{ECD68460-7285-480D-8D7F-6B50F5356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447" name="Picture 1339" descr="spacer">
          <a:extLst>
            <a:ext uri="{FF2B5EF4-FFF2-40B4-BE49-F238E27FC236}">
              <a16:creationId xmlns:a16="http://schemas.microsoft.com/office/drawing/2014/main" id="{CF99D180-6DD8-4803-A2BB-550DE7389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48" name="Picture 1341" descr="spacer">
          <a:extLst>
            <a:ext uri="{FF2B5EF4-FFF2-40B4-BE49-F238E27FC236}">
              <a16:creationId xmlns:a16="http://schemas.microsoft.com/office/drawing/2014/main" id="{58B54B2D-8C46-4F24-9ABC-B9D67727B6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49" name="Picture 1342" descr="spacer">
          <a:extLst>
            <a:ext uri="{FF2B5EF4-FFF2-40B4-BE49-F238E27FC236}">
              <a16:creationId xmlns:a16="http://schemas.microsoft.com/office/drawing/2014/main" id="{CAD84CC7-2433-461E-9AEA-9D081E1B6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50" name="Picture 1343" descr="spacer">
          <a:extLst>
            <a:ext uri="{FF2B5EF4-FFF2-40B4-BE49-F238E27FC236}">
              <a16:creationId xmlns:a16="http://schemas.microsoft.com/office/drawing/2014/main" id="{2052847D-D442-4F85-B55B-089869315F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51" name="Picture 1344" descr="spacer">
          <a:extLst>
            <a:ext uri="{FF2B5EF4-FFF2-40B4-BE49-F238E27FC236}">
              <a16:creationId xmlns:a16="http://schemas.microsoft.com/office/drawing/2014/main" id="{A95B0B6E-E82E-4C31-923C-5C20AFFC7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52" name="Picture 1345" descr="spacer">
          <a:extLst>
            <a:ext uri="{FF2B5EF4-FFF2-40B4-BE49-F238E27FC236}">
              <a16:creationId xmlns:a16="http://schemas.microsoft.com/office/drawing/2014/main" id="{BA4D4086-7AA8-4132-AB42-DFAA071D8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53" name="Picture 1346" descr="spacer">
          <a:extLst>
            <a:ext uri="{FF2B5EF4-FFF2-40B4-BE49-F238E27FC236}">
              <a16:creationId xmlns:a16="http://schemas.microsoft.com/office/drawing/2014/main" id="{1520F21B-18A8-4600-B457-102D70A92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54" name="Picture 1347" descr="spacer">
          <a:extLst>
            <a:ext uri="{FF2B5EF4-FFF2-40B4-BE49-F238E27FC236}">
              <a16:creationId xmlns:a16="http://schemas.microsoft.com/office/drawing/2014/main" id="{42FE4BF8-E92F-46DF-8D6E-A587AFA65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55" name="Picture 1348" descr="spacer">
          <a:extLst>
            <a:ext uri="{FF2B5EF4-FFF2-40B4-BE49-F238E27FC236}">
              <a16:creationId xmlns:a16="http://schemas.microsoft.com/office/drawing/2014/main" id="{873590FA-AAAB-4FCD-AF51-5536EAC67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56" name="Picture 1349" descr="spacer">
          <a:extLst>
            <a:ext uri="{FF2B5EF4-FFF2-40B4-BE49-F238E27FC236}">
              <a16:creationId xmlns:a16="http://schemas.microsoft.com/office/drawing/2014/main" id="{99D3C96B-491D-47D6-AC85-B19AD4A6A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57" name="Picture 1350" descr="spacer">
          <a:extLst>
            <a:ext uri="{FF2B5EF4-FFF2-40B4-BE49-F238E27FC236}">
              <a16:creationId xmlns:a16="http://schemas.microsoft.com/office/drawing/2014/main" id="{2669A037-FDE5-4678-8E0A-19D5F91D6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58" name="Picture 1351" descr="spacer">
          <a:extLst>
            <a:ext uri="{FF2B5EF4-FFF2-40B4-BE49-F238E27FC236}">
              <a16:creationId xmlns:a16="http://schemas.microsoft.com/office/drawing/2014/main" id="{09412375-E6DD-473D-8047-83200F34D3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59" name="Picture 1352" descr="spacer">
          <a:extLst>
            <a:ext uri="{FF2B5EF4-FFF2-40B4-BE49-F238E27FC236}">
              <a16:creationId xmlns:a16="http://schemas.microsoft.com/office/drawing/2014/main" id="{273B401A-9F83-4FD1-A414-7088C11CA3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60" name="Picture 1353" descr="spacer">
          <a:extLst>
            <a:ext uri="{FF2B5EF4-FFF2-40B4-BE49-F238E27FC236}">
              <a16:creationId xmlns:a16="http://schemas.microsoft.com/office/drawing/2014/main" id="{59BCFCDE-CABD-4F51-AE40-F71E33B27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61" name="Picture 1354" descr="spacer">
          <a:extLst>
            <a:ext uri="{FF2B5EF4-FFF2-40B4-BE49-F238E27FC236}">
              <a16:creationId xmlns:a16="http://schemas.microsoft.com/office/drawing/2014/main" id="{D7CAC826-B89B-43FA-9203-A779662EAD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462" name="Picture 1357" descr="spacer">
          <a:extLst>
            <a:ext uri="{FF2B5EF4-FFF2-40B4-BE49-F238E27FC236}">
              <a16:creationId xmlns:a16="http://schemas.microsoft.com/office/drawing/2014/main" id="{BAE85220-B701-4F03-9C2F-77611DD7C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63" name="Picture 1359" descr="spacer">
          <a:extLst>
            <a:ext uri="{FF2B5EF4-FFF2-40B4-BE49-F238E27FC236}">
              <a16:creationId xmlns:a16="http://schemas.microsoft.com/office/drawing/2014/main" id="{D89DFD13-81BA-45C4-AFCC-F439E9250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64" name="Picture 1360" descr="spacer">
          <a:extLst>
            <a:ext uri="{FF2B5EF4-FFF2-40B4-BE49-F238E27FC236}">
              <a16:creationId xmlns:a16="http://schemas.microsoft.com/office/drawing/2014/main" id="{99103A67-AB57-4C7A-AE11-840D2ABC2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65" name="Picture 1361" descr="spacer">
          <a:extLst>
            <a:ext uri="{FF2B5EF4-FFF2-40B4-BE49-F238E27FC236}">
              <a16:creationId xmlns:a16="http://schemas.microsoft.com/office/drawing/2014/main" id="{99F05C2C-FA54-4CBD-9DD3-80084024D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66" name="Picture 1362" descr="spacer">
          <a:extLst>
            <a:ext uri="{FF2B5EF4-FFF2-40B4-BE49-F238E27FC236}">
              <a16:creationId xmlns:a16="http://schemas.microsoft.com/office/drawing/2014/main" id="{D6A46ED0-2C5A-43B4-A68C-7F9AD864B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67" name="Picture 1363" descr="spacer">
          <a:extLst>
            <a:ext uri="{FF2B5EF4-FFF2-40B4-BE49-F238E27FC236}">
              <a16:creationId xmlns:a16="http://schemas.microsoft.com/office/drawing/2014/main" id="{DAF7D851-26B2-4377-8065-512429C86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68" name="Picture 1364" descr="spacer">
          <a:extLst>
            <a:ext uri="{FF2B5EF4-FFF2-40B4-BE49-F238E27FC236}">
              <a16:creationId xmlns:a16="http://schemas.microsoft.com/office/drawing/2014/main" id="{BCC4A3D0-5739-4425-BD87-750DDB920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69" name="Picture 1365" descr="spacer">
          <a:extLst>
            <a:ext uri="{FF2B5EF4-FFF2-40B4-BE49-F238E27FC236}">
              <a16:creationId xmlns:a16="http://schemas.microsoft.com/office/drawing/2014/main" id="{E2CFC6E7-AD36-4EC2-851D-1B4B6EA3D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70" name="Picture 1366" descr="spacer">
          <a:extLst>
            <a:ext uri="{FF2B5EF4-FFF2-40B4-BE49-F238E27FC236}">
              <a16:creationId xmlns:a16="http://schemas.microsoft.com/office/drawing/2014/main" id="{C6672972-66CC-4D3F-8BD4-C9CEDC1E2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71" name="Picture 1367" descr="spacer">
          <a:extLst>
            <a:ext uri="{FF2B5EF4-FFF2-40B4-BE49-F238E27FC236}">
              <a16:creationId xmlns:a16="http://schemas.microsoft.com/office/drawing/2014/main" id="{9B2304FD-255E-4A8D-A6D0-2B4F83F02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72" name="Picture 1368" descr="spacer">
          <a:extLst>
            <a:ext uri="{FF2B5EF4-FFF2-40B4-BE49-F238E27FC236}">
              <a16:creationId xmlns:a16="http://schemas.microsoft.com/office/drawing/2014/main" id="{1EC13C35-BCB0-4B41-8BE2-9C37708D6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73" name="Picture 1369" descr="spacer">
          <a:extLst>
            <a:ext uri="{FF2B5EF4-FFF2-40B4-BE49-F238E27FC236}">
              <a16:creationId xmlns:a16="http://schemas.microsoft.com/office/drawing/2014/main" id="{7FDBB43D-9AA5-4145-ACB1-A3DD882A94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74" name="Picture 1370" descr="spacer">
          <a:extLst>
            <a:ext uri="{FF2B5EF4-FFF2-40B4-BE49-F238E27FC236}">
              <a16:creationId xmlns:a16="http://schemas.microsoft.com/office/drawing/2014/main" id="{DDE9D3D8-EC51-44A5-875E-3AC00625A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75" name="Picture 1371" descr="spacer">
          <a:extLst>
            <a:ext uri="{FF2B5EF4-FFF2-40B4-BE49-F238E27FC236}">
              <a16:creationId xmlns:a16="http://schemas.microsoft.com/office/drawing/2014/main" id="{88265A10-F848-465C-9D67-12F003718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76" name="Picture 1372" descr="spacer">
          <a:extLst>
            <a:ext uri="{FF2B5EF4-FFF2-40B4-BE49-F238E27FC236}">
              <a16:creationId xmlns:a16="http://schemas.microsoft.com/office/drawing/2014/main" id="{6206C8AE-AFC5-4ACF-B5E8-BDC654D6C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477" name="Picture 1375" descr="spacer">
          <a:extLst>
            <a:ext uri="{FF2B5EF4-FFF2-40B4-BE49-F238E27FC236}">
              <a16:creationId xmlns:a16="http://schemas.microsoft.com/office/drawing/2014/main" id="{0FF4BB27-ED40-4826-B624-B2C7648E5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78" name="Picture 1377" descr="spacer">
          <a:extLst>
            <a:ext uri="{FF2B5EF4-FFF2-40B4-BE49-F238E27FC236}">
              <a16:creationId xmlns:a16="http://schemas.microsoft.com/office/drawing/2014/main" id="{468E8FC8-5C7B-48B5-A573-D341B05C4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79" name="Picture 1378" descr="spacer">
          <a:extLst>
            <a:ext uri="{FF2B5EF4-FFF2-40B4-BE49-F238E27FC236}">
              <a16:creationId xmlns:a16="http://schemas.microsoft.com/office/drawing/2014/main" id="{73F5D28A-9C38-4B83-9222-28B302E2D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80" name="Picture 1379" descr="spacer">
          <a:extLst>
            <a:ext uri="{FF2B5EF4-FFF2-40B4-BE49-F238E27FC236}">
              <a16:creationId xmlns:a16="http://schemas.microsoft.com/office/drawing/2014/main" id="{8ADF66CB-8DCE-4196-B1AB-1EE483F6A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81" name="Picture 1380" descr="spacer">
          <a:extLst>
            <a:ext uri="{FF2B5EF4-FFF2-40B4-BE49-F238E27FC236}">
              <a16:creationId xmlns:a16="http://schemas.microsoft.com/office/drawing/2014/main" id="{4B59D53C-460B-4785-9D62-B72C230DF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82" name="Picture 1381" descr="spacer">
          <a:extLst>
            <a:ext uri="{FF2B5EF4-FFF2-40B4-BE49-F238E27FC236}">
              <a16:creationId xmlns:a16="http://schemas.microsoft.com/office/drawing/2014/main" id="{53B1D811-ACDA-48AD-8BAF-9EABE1F42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83" name="Picture 1382" descr="spacer">
          <a:extLst>
            <a:ext uri="{FF2B5EF4-FFF2-40B4-BE49-F238E27FC236}">
              <a16:creationId xmlns:a16="http://schemas.microsoft.com/office/drawing/2014/main" id="{944C7EB1-B2D2-42F3-A00F-AD36358CA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84" name="Picture 1383" descr="spacer">
          <a:extLst>
            <a:ext uri="{FF2B5EF4-FFF2-40B4-BE49-F238E27FC236}">
              <a16:creationId xmlns:a16="http://schemas.microsoft.com/office/drawing/2014/main" id="{C9932C5E-8F69-4A54-A434-976C004A7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85" name="Picture 1384" descr="spacer">
          <a:extLst>
            <a:ext uri="{FF2B5EF4-FFF2-40B4-BE49-F238E27FC236}">
              <a16:creationId xmlns:a16="http://schemas.microsoft.com/office/drawing/2014/main" id="{FC54A8B2-B4CE-4F2B-8A75-958852C1C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86" name="Picture 1385" descr="spacer">
          <a:extLst>
            <a:ext uri="{FF2B5EF4-FFF2-40B4-BE49-F238E27FC236}">
              <a16:creationId xmlns:a16="http://schemas.microsoft.com/office/drawing/2014/main" id="{FA64DDDB-6D89-40C6-9429-7ED25ECF29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87" name="Picture 1386" descr="spacer">
          <a:extLst>
            <a:ext uri="{FF2B5EF4-FFF2-40B4-BE49-F238E27FC236}">
              <a16:creationId xmlns:a16="http://schemas.microsoft.com/office/drawing/2014/main" id="{E904DE08-FE87-4B2C-9450-60DEFF8F7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88" name="Picture 1387" descr="spacer">
          <a:extLst>
            <a:ext uri="{FF2B5EF4-FFF2-40B4-BE49-F238E27FC236}">
              <a16:creationId xmlns:a16="http://schemas.microsoft.com/office/drawing/2014/main" id="{FD9D8E6B-65D3-4DA8-AB2C-172C43FF2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89" name="Picture 1388" descr="spacer">
          <a:extLst>
            <a:ext uri="{FF2B5EF4-FFF2-40B4-BE49-F238E27FC236}">
              <a16:creationId xmlns:a16="http://schemas.microsoft.com/office/drawing/2014/main" id="{269BB5A0-9783-437C-891A-A2FB30D90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90" name="Picture 1389" descr="spacer">
          <a:extLst>
            <a:ext uri="{FF2B5EF4-FFF2-40B4-BE49-F238E27FC236}">
              <a16:creationId xmlns:a16="http://schemas.microsoft.com/office/drawing/2014/main" id="{BCA7A6D5-D476-4E6F-A72A-156E77A32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91" name="Picture 1390" descr="spacer">
          <a:extLst>
            <a:ext uri="{FF2B5EF4-FFF2-40B4-BE49-F238E27FC236}">
              <a16:creationId xmlns:a16="http://schemas.microsoft.com/office/drawing/2014/main" id="{8989A31A-2975-4211-BFDC-DE1E1BEEE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492" name="Picture 1393" descr="spacer">
          <a:extLst>
            <a:ext uri="{FF2B5EF4-FFF2-40B4-BE49-F238E27FC236}">
              <a16:creationId xmlns:a16="http://schemas.microsoft.com/office/drawing/2014/main" id="{0BF28414-39BE-4820-9817-AAC4ECEDC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93" name="Picture 1395" descr="spacer">
          <a:extLst>
            <a:ext uri="{FF2B5EF4-FFF2-40B4-BE49-F238E27FC236}">
              <a16:creationId xmlns:a16="http://schemas.microsoft.com/office/drawing/2014/main" id="{A943F85E-9DBE-4C48-84B7-24427745F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94" name="Picture 1396" descr="spacer">
          <a:extLst>
            <a:ext uri="{FF2B5EF4-FFF2-40B4-BE49-F238E27FC236}">
              <a16:creationId xmlns:a16="http://schemas.microsoft.com/office/drawing/2014/main" id="{390A9960-C797-4289-9F69-B1FD74EF8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95" name="Picture 1397" descr="spacer">
          <a:extLst>
            <a:ext uri="{FF2B5EF4-FFF2-40B4-BE49-F238E27FC236}">
              <a16:creationId xmlns:a16="http://schemas.microsoft.com/office/drawing/2014/main" id="{5F784314-118F-4869-8E20-E4D2ACF5D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96" name="Picture 1398" descr="spacer">
          <a:extLst>
            <a:ext uri="{FF2B5EF4-FFF2-40B4-BE49-F238E27FC236}">
              <a16:creationId xmlns:a16="http://schemas.microsoft.com/office/drawing/2014/main" id="{A6202D74-F8F0-4084-9D1E-0CC2D8757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97" name="Picture 1399" descr="spacer">
          <a:extLst>
            <a:ext uri="{FF2B5EF4-FFF2-40B4-BE49-F238E27FC236}">
              <a16:creationId xmlns:a16="http://schemas.microsoft.com/office/drawing/2014/main" id="{D1DE174E-91C7-48D7-A472-F0C8ED591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98" name="Picture 1400" descr="spacer">
          <a:extLst>
            <a:ext uri="{FF2B5EF4-FFF2-40B4-BE49-F238E27FC236}">
              <a16:creationId xmlns:a16="http://schemas.microsoft.com/office/drawing/2014/main" id="{51BAAD50-C32C-4D37-8DD7-751FDC9BE9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499" name="Picture 1401" descr="spacer">
          <a:extLst>
            <a:ext uri="{FF2B5EF4-FFF2-40B4-BE49-F238E27FC236}">
              <a16:creationId xmlns:a16="http://schemas.microsoft.com/office/drawing/2014/main" id="{0B213EB2-26A2-4C1D-BA72-651AEFC2C5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00" name="Picture 1402" descr="spacer">
          <a:extLst>
            <a:ext uri="{FF2B5EF4-FFF2-40B4-BE49-F238E27FC236}">
              <a16:creationId xmlns:a16="http://schemas.microsoft.com/office/drawing/2014/main" id="{DB2DE482-70A5-4433-83AC-88F040656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01" name="Picture 1403" descr="spacer">
          <a:extLst>
            <a:ext uri="{FF2B5EF4-FFF2-40B4-BE49-F238E27FC236}">
              <a16:creationId xmlns:a16="http://schemas.microsoft.com/office/drawing/2014/main" id="{8FD51408-C0FB-443E-99E5-C5FABA1A6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02" name="Picture 1404" descr="spacer">
          <a:extLst>
            <a:ext uri="{FF2B5EF4-FFF2-40B4-BE49-F238E27FC236}">
              <a16:creationId xmlns:a16="http://schemas.microsoft.com/office/drawing/2014/main" id="{23BC23D7-007A-4AEA-BEE1-3B7598410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03" name="Picture 1405" descr="spacer">
          <a:extLst>
            <a:ext uri="{FF2B5EF4-FFF2-40B4-BE49-F238E27FC236}">
              <a16:creationId xmlns:a16="http://schemas.microsoft.com/office/drawing/2014/main" id="{49FC46D6-9594-45CF-B7E5-A304F3C440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04" name="Picture 1406" descr="spacer">
          <a:extLst>
            <a:ext uri="{FF2B5EF4-FFF2-40B4-BE49-F238E27FC236}">
              <a16:creationId xmlns:a16="http://schemas.microsoft.com/office/drawing/2014/main" id="{EE038DCD-9DE9-49E3-8026-FF79EA2C84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05" name="Picture 1407" descr="spacer">
          <a:extLst>
            <a:ext uri="{FF2B5EF4-FFF2-40B4-BE49-F238E27FC236}">
              <a16:creationId xmlns:a16="http://schemas.microsoft.com/office/drawing/2014/main" id="{C3805423-82A0-42B3-8FE8-17DD9C4BA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06" name="Picture 1408" descr="spacer">
          <a:extLst>
            <a:ext uri="{FF2B5EF4-FFF2-40B4-BE49-F238E27FC236}">
              <a16:creationId xmlns:a16="http://schemas.microsoft.com/office/drawing/2014/main" id="{22A6588A-1DC5-48E6-8E01-7F5B5AE0C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507" name="Picture 1411" descr="spacer">
          <a:extLst>
            <a:ext uri="{FF2B5EF4-FFF2-40B4-BE49-F238E27FC236}">
              <a16:creationId xmlns:a16="http://schemas.microsoft.com/office/drawing/2014/main" id="{5F1941AE-096C-42F0-9E22-3F04493C9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08" name="Picture 1413" descr="spacer">
          <a:extLst>
            <a:ext uri="{FF2B5EF4-FFF2-40B4-BE49-F238E27FC236}">
              <a16:creationId xmlns:a16="http://schemas.microsoft.com/office/drawing/2014/main" id="{0A5A5052-95AA-438A-B2C5-0689F6537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09" name="Picture 1414" descr="spacer">
          <a:extLst>
            <a:ext uri="{FF2B5EF4-FFF2-40B4-BE49-F238E27FC236}">
              <a16:creationId xmlns:a16="http://schemas.microsoft.com/office/drawing/2014/main" id="{225C2FEF-1FA4-4649-84CF-9AA96D50F6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10" name="Picture 1415" descr="spacer">
          <a:extLst>
            <a:ext uri="{FF2B5EF4-FFF2-40B4-BE49-F238E27FC236}">
              <a16:creationId xmlns:a16="http://schemas.microsoft.com/office/drawing/2014/main" id="{F536B009-37A2-4C9E-9D5E-49D2BBDC3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11" name="Picture 1416" descr="spacer">
          <a:extLst>
            <a:ext uri="{FF2B5EF4-FFF2-40B4-BE49-F238E27FC236}">
              <a16:creationId xmlns:a16="http://schemas.microsoft.com/office/drawing/2014/main" id="{B26E8D24-880D-4326-A798-7421059F9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12" name="Picture 1417" descr="spacer">
          <a:extLst>
            <a:ext uri="{FF2B5EF4-FFF2-40B4-BE49-F238E27FC236}">
              <a16:creationId xmlns:a16="http://schemas.microsoft.com/office/drawing/2014/main" id="{078EFA12-5902-4157-A27E-9D981F3FF1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13" name="Picture 1418" descr="spacer">
          <a:extLst>
            <a:ext uri="{FF2B5EF4-FFF2-40B4-BE49-F238E27FC236}">
              <a16:creationId xmlns:a16="http://schemas.microsoft.com/office/drawing/2014/main" id="{4E4CE3A0-9605-4324-B58A-AAEBD1ECF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14" name="Picture 1419" descr="spacer">
          <a:extLst>
            <a:ext uri="{FF2B5EF4-FFF2-40B4-BE49-F238E27FC236}">
              <a16:creationId xmlns:a16="http://schemas.microsoft.com/office/drawing/2014/main" id="{0E3A136A-50C9-436E-8AD5-E15526468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15" name="Picture 1420" descr="spacer">
          <a:extLst>
            <a:ext uri="{FF2B5EF4-FFF2-40B4-BE49-F238E27FC236}">
              <a16:creationId xmlns:a16="http://schemas.microsoft.com/office/drawing/2014/main" id="{9DF369A0-C412-4722-8A6F-705493E26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16" name="Picture 1421" descr="spacer">
          <a:extLst>
            <a:ext uri="{FF2B5EF4-FFF2-40B4-BE49-F238E27FC236}">
              <a16:creationId xmlns:a16="http://schemas.microsoft.com/office/drawing/2014/main" id="{CD694ED7-8DE6-40BC-9081-486E0BA45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17" name="Picture 1422" descr="spacer">
          <a:extLst>
            <a:ext uri="{FF2B5EF4-FFF2-40B4-BE49-F238E27FC236}">
              <a16:creationId xmlns:a16="http://schemas.microsoft.com/office/drawing/2014/main" id="{1CC0A2E5-755C-4A37-A287-01483212C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18" name="Picture 1423" descr="spacer">
          <a:extLst>
            <a:ext uri="{FF2B5EF4-FFF2-40B4-BE49-F238E27FC236}">
              <a16:creationId xmlns:a16="http://schemas.microsoft.com/office/drawing/2014/main" id="{C5FA3AD5-F348-4A0E-8EDA-ECD829F154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19" name="Picture 1424" descr="spacer">
          <a:extLst>
            <a:ext uri="{FF2B5EF4-FFF2-40B4-BE49-F238E27FC236}">
              <a16:creationId xmlns:a16="http://schemas.microsoft.com/office/drawing/2014/main" id="{A26BEE58-97C3-48C1-AFFA-9F61BA910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20" name="Picture 1425" descr="spacer">
          <a:extLst>
            <a:ext uri="{FF2B5EF4-FFF2-40B4-BE49-F238E27FC236}">
              <a16:creationId xmlns:a16="http://schemas.microsoft.com/office/drawing/2014/main" id="{76ACA616-36D7-4614-A811-458F0197C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521" name="Picture 1428" descr="spacer">
          <a:extLst>
            <a:ext uri="{FF2B5EF4-FFF2-40B4-BE49-F238E27FC236}">
              <a16:creationId xmlns:a16="http://schemas.microsoft.com/office/drawing/2014/main" id="{5A30277F-07BD-47E2-B643-86D7B3031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22" name="Picture 1430" descr="spacer">
          <a:extLst>
            <a:ext uri="{FF2B5EF4-FFF2-40B4-BE49-F238E27FC236}">
              <a16:creationId xmlns:a16="http://schemas.microsoft.com/office/drawing/2014/main" id="{04D40D3D-B7B2-49CF-88A2-1870D9D03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23" name="Picture 1431" descr="spacer">
          <a:extLst>
            <a:ext uri="{FF2B5EF4-FFF2-40B4-BE49-F238E27FC236}">
              <a16:creationId xmlns:a16="http://schemas.microsoft.com/office/drawing/2014/main" id="{45E0D454-C031-4C14-8F00-4BDDFD63E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24" name="Picture 1432" descr="spacer">
          <a:extLst>
            <a:ext uri="{FF2B5EF4-FFF2-40B4-BE49-F238E27FC236}">
              <a16:creationId xmlns:a16="http://schemas.microsoft.com/office/drawing/2014/main" id="{36AD6BFB-9B46-4AAA-94D6-3DEFCDFC51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25" name="Picture 1433" descr="spacer">
          <a:extLst>
            <a:ext uri="{FF2B5EF4-FFF2-40B4-BE49-F238E27FC236}">
              <a16:creationId xmlns:a16="http://schemas.microsoft.com/office/drawing/2014/main" id="{9CFB7F87-9AAA-4B71-AD13-3C967351C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26" name="Picture 1434" descr="spacer">
          <a:extLst>
            <a:ext uri="{FF2B5EF4-FFF2-40B4-BE49-F238E27FC236}">
              <a16:creationId xmlns:a16="http://schemas.microsoft.com/office/drawing/2014/main" id="{EF2F3174-AB71-4416-841C-C66E2A688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27" name="Picture 1435" descr="spacer">
          <a:extLst>
            <a:ext uri="{FF2B5EF4-FFF2-40B4-BE49-F238E27FC236}">
              <a16:creationId xmlns:a16="http://schemas.microsoft.com/office/drawing/2014/main" id="{8A398E3C-EE1D-44EB-819C-ADB0E5A55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28" name="Picture 1436" descr="spacer">
          <a:extLst>
            <a:ext uri="{FF2B5EF4-FFF2-40B4-BE49-F238E27FC236}">
              <a16:creationId xmlns:a16="http://schemas.microsoft.com/office/drawing/2014/main" id="{62D3B468-9C30-43D3-9982-FBF714BB6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29" name="Picture 1437" descr="spacer">
          <a:extLst>
            <a:ext uri="{FF2B5EF4-FFF2-40B4-BE49-F238E27FC236}">
              <a16:creationId xmlns:a16="http://schemas.microsoft.com/office/drawing/2014/main" id="{9BE00D8F-8305-422F-BD81-B41CEC2C8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30" name="Picture 1438" descr="spacer">
          <a:extLst>
            <a:ext uri="{FF2B5EF4-FFF2-40B4-BE49-F238E27FC236}">
              <a16:creationId xmlns:a16="http://schemas.microsoft.com/office/drawing/2014/main" id="{F19B7526-A0DC-47D7-87DA-775C0FC5F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31" name="Picture 1439" descr="spacer">
          <a:extLst>
            <a:ext uri="{FF2B5EF4-FFF2-40B4-BE49-F238E27FC236}">
              <a16:creationId xmlns:a16="http://schemas.microsoft.com/office/drawing/2014/main" id="{9E72A51D-8DF0-411A-B9C4-B5B7991DF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32" name="Picture 1440" descr="spacer">
          <a:extLst>
            <a:ext uri="{FF2B5EF4-FFF2-40B4-BE49-F238E27FC236}">
              <a16:creationId xmlns:a16="http://schemas.microsoft.com/office/drawing/2014/main" id="{6A7DBAD4-F846-4586-B360-2C09E889F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33" name="Picture 1441" descr="spacer">
          <a:extLst>
            <a:ext uri="{FF2B5EF4-FFF2-40B4-BE49-F238E27FC236}">
              <a16:creationId xmlns:a16="http://schemas.microsoft.com/office/drawing/2014/main" id="{AFFFAC86-2096-4EF3-B652-CFF2A155A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34" name="Picture 1442" descr="spacer">
          <a:extLst>
            <a:ext uri="{FF2B5EF4-FFF2-40B4-BE49-F238E27FC236}">
              <a16:creationId xmlns:a16="http://schemas.microsoft.com/office/drawing/2014/main" id="{C67F4CEF-9BF9-4B91-945A-BB9FA39D3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535" name="Picture 1445" descr="spacer">
          <a:extLst>
            <a:ext uri="{FF2B5EF4-FFF2-40B4-BE49-F238E27FC236}">
              <a16:creationId xmlns:a16="http://schemas.microsoft.com/office/drawing/2014/main" id="{C4EE5C6C-002A-49A0-91FA-16316AAEE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36" name="Picture 1447" descr="spacer">
          <a:extLst>
            <a:ext uri="{FF2B5EF4-FFF2-40B4-BE49-F238E27FC236}">
              <a16:creationId xmlns:a16="http://schemas.microsoft.com/office/drawing/2014/main" id="{25703739-938A-4393-B120-98D9C1436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37" name="Picture 1448" descr="spacer">
          <a:extLst>
            <a:ext uri="{FF2B5EF4-FFF2-40B4-BE49-F238E27FC236}">
              <a16:creationId xmlns:a16="http://schemas.microsoft.com/office/drawing/2014/main" id="{BAFBD312-4B41-4784-9A50-74C0CF7DA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38" name="Picture 1449" descr="spacer">
          <a:extLst>
            <a:ext uri="{FF2B5EF4-FFF2-40B4-BE49-F238E27FC236}">
              <a16:creationId xmlns:a16="http://schemas.microsoft.com/office/drawing/2014/main" id="{8EDD8EE5-DAAA-4A7F-8629-9349B19EE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39" name="Picture 1450" descr="spacer">
          <a:extLst>
            <a:ext uri="{FF2B5EF4-FFF2-40B4-BE49-F238E27FC236}">
              <a16:creationId xmlns:a16="http://schemas.microsoft.com/office/drawing/2014/main" id="{A84EE42C-5AA1-41FE-983A-26FADE5E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40" name="Picture 1451" descr="spacer">
          <a:extLst>
            <a:ext uri="{FF2B5EF4-FFF2-40B4-BE49-F238E27FC236}">
              <a16:creationId xmlns:a16="http://schemas.microsoft.com/office/drawing/2014/main" id="{74CFE3EE-3EE5-4132-B553-2C909561B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41" name="Picture 1452" descr="spacer">
          <a:extLst>
            <a:ext uri="{FF2B5EF4-FFF2-40B4-BE49-F238E27FC236}">
              <a16:creationId xmlns:a16="http://schemas.microsoft.com/office/drawing/2014/main" id="{D5853E5F-49FD-465D-B117-4FD950288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42" name="Picture 1453" descr="spacer">
          <a:extLst>
            <a:ext uri="{FF2B5EF4-FFF2-40B4-BE49-F238E27FC236}">
              <a16:creationId xmlns:a16="http://schemas.microsoft.com/office/drawing/2014/main" id="{EE1DF6EB-08E1-48D8-B181-F33D81301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43" name="Picture 1454" descr="spacer">
          <a:extLst>
            <a:ext uri="{FF2B5EF4-FFF2-40B4-BE49-F238E27FC236}">
              <a16:creationId xmlns:a16="http://schemas.microsoft.com/office/drawing/2014/main" id="{B4426136-E6CA-426F-A0F1-C9342CE73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44" name="Picture 1455" descr="spacer">
          <a:extLst>
            <a:ext uri="{FF2B5EF4-FFF2-40B4-BE49-F238E27FC236}">
              <a16:creationId xmlns:a16="http://schemas.microsoft.com/office/drawing/2014/main" id="{C074138E-9B5F-4C14-B93D-BE3AC3063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45" name="Picture 1456" descr="spacer">
          <a:extLst>
            <a:ext uri="{FF2B5EF4-FFF2-40B4-BE49-F238E27FC236}">
              <a16:creationId xmlns:a16="http://schemas.microsoft.com/office/drawing/2014/main" id="{4356E82A-7AB5-4597-AE89-97E47FB0E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46" name="Picture 1457" descr="spacer">
          <a:extLst>
            <a:ext uri="{FF2B5EF4-FFF2-40B4-BE49-F238E27FC236}">
              <a16:creationId xmlns:a16="http://schemas.microsoft.com/office/drawing/2014/main" id="{89DE4D06-7D07-4D5B-B87B-84BA169BA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47" name="Picture 1458" descr="spacer">
          <a:extLst>
            <a:ext uri="{FF2B5EF4-FFF2-40B4-BE49-F238E27FC236}">
              <a16:creationId xmlns:a16="http://schemas.microsoft.com/office/drawing/2014/main" id="{D0565100-2E5A-4375-AB94-A088AD9E4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48" name="Picture 1459" descr="spacer">
          <a:extLst>
            <a:ext uri="{FF2B5EF4-FFF2-40B4-BE49-F238E27FC236}">
              <a16:creationId xmlns:a16="http://schemas.microsoft.com/office/drawing/2014/main" id="{DF5B3C15-D9F5-470D-A128-ED10421F9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49" name="Picture 1460" descr="spacer">
          <a:extLst>
            <a:ext uri="{FF2B5EF4-FFF2-40B4-BE49-F238E27FC236}">
              <a16:creationId xmlns:a16="http://schemas.microsoft.com/office/drawing/2014/main" id="{3D6A5C0E-D3CA-4B4F-9008-71B5E6B7D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550" name="Picture 1463" descr="spacer">
          <a:extLst>
            <a:ext uri="{FF2B5EF4-FFF2-40B4-BE49-F238E27FC236}">
              <a16:creationId xmlns:a16="http://schemas.microsoft.com/office/drawing/2014/main" id="{90D87379-B149-421C-9645-448A8C77B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51" name="Picture 1465" descr="spacer">
          <a:extLst>
            <a:ext uri="{FF2B5EF4-FFF2-40B4-BE49-F238E27FC236}">
              <a16:creationId xmlns:a16="http://schemas.microsoft.com/office/drawing/2014/main" id="{34FDC483-575D-4ACD-A300-B4EEE80F8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52" name="Picture 1466" descr="spacer">
          <a:extLst>
            <a:ext uri="{FF2B5EF4-FFF2-40B4-BE49-F238E27FC236}">
              <a16:creationId xmlns:a16="http://schemas.microsoft.com/office/drawing/2014/main" id="{7C422D55-C14A-40C7-8545-E506E18E69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53" name="Picture 1467" descr="spacer">
          <a:extLst>
            <a:ext uri="{FF2B5EF4-FFF2-40B4-BE49-F238E27FC236}">
              <a16:creationId xmlns:a16="http://schemas.microsoft.com/office/drawing/2014/main" id="{B9B17705-E235-4BAB-88CC-A5A0ED7EC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54" name="Picture 1468" descr="spacer">
          <a:extLst>
            <a:ext uri="{FF2B5EF4-FFF2-40B4-BE49-F238E27FC236}">
              <a16:creationId xmlns:a16="http://schemas.microsoft.com/office/drawing/2014/main" id="{6DE92947-28E5-4768-A4C9-DCC2AE3DD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55" name="Picture 1469" descr="spacer">
          <a:extLst>
            <a:ext uri="{FF2B5EF4-FFF2-40B4-BE49-F238E27FC236}">
              <a16:creationId xmlns:a16="http://schemas.microsoft.com/office/drawing/2014/main" id="{2A537F3B-85E6-4DDA-B613-0038DACA1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56" name="Picture 1470" descr="spacer">
          <a:extLst>
            <a:ext uri="{FF2B5EF4-FFF2-40B4-BE49-F238E27FC236}">
              <a16:creationId xmlns:a16="http://schemas.microsoft.com/office/drawing/2014/main" id="{F159A2C6-DF74-432B-8234-6E110D3805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57" name="Picture 1471" descr="spacer">
          <a:extLst>
            <a:ext uri="{FF2B5EF4-FFF2-40B4-BE49-F238E27FC236}">
              <a16:creationId xmlns:a16="http://schemas.microsoft.com/office/drawing/2014/main" id="{9ECE8F8E-1D39-4E64-858C-F31DA55CB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58" name="Picture 1472" descr="spacer">
          <a:extLst>
            <a:ext uri="{FF2B5EF4-FFF2-40B4-BE49-F238E27FC236}">
              <a16:creationId xmlns:a16="http://schemas.microsoft.com/office/drawing/2014/main" id="{DC4F44F7-933B-4E28-BD37-A9D87C790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59" name="Picture 1473" descr="spacer">
          <a:extLst>
            <a:ext uri="{FF2B5EF4-FFF2-40B4-BE49-F238E27FC236}">
              <a16:creationId xmlns:a16="http://schemas.microsoft.com/office/drawing/2014/main" id="{50363141-9A6D-47F0-B548-277844C11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60" name="Picture 1474" descr="spacer">
          <a:extLst>
            <a:ext uri="{FF2B5EF4-FFF2-40B4-BE49-F238E27FC236}">
              <a16:creationId xmlns:a16="http://schemas.microsoft.com/office/drawing/2014/main" id="{92D42526-81D6-4536-B497-AC25B59F2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61" name="Picture 1475" descr="spacer">
          <a:extLst>
            <a:ext uri="{FF2B5EF4-FFF2-40B4-BE49-F238E27FC236}">
              <a16:creationId xmlns:a16="http://schemas.microsoft.com/office/drawing/2014/main" id="{F56F02B6-1C42-4160-ADD4-3A4F21C236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62" name="Picture 1476" descr="spacer">
          <a:extLst>
            <a:ext uri="{FF2B5EF4-FFF2-40B4-BE49-F238E27FC236}">
              <a16:creationId xmlns:a16="http://schemas.microsoft.com/office/drawing/2014/main" id="{EC6A1FA5-8A9A-4BA3-971E-3EE8EDBE9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63" name="Picture 1477" descr="spacer">
          <a:extLst>
            <a:ext uri="{FF2B5EF4-FFF2-40B4-BE49-F238E27FC236}">
              <a16:creationId xmlns:a16="http://schemas.microsoft.com/office/drawing/2014/main" id="{5F097FDC-D02A-4046-B5F2-DF7D9C3E6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564" name="Picture 1480" descr="spacer">
          <a:extLst>
            <a:ext uri="{FF2B5EF4-FFF2-40B4-BE49-F238E27FC236}">
              <a16:creationId xmlns:a16="http://schemas.microsoft.com/office/drawing/2014/main" id="{DE5CD4A1-33AE-4309-A6B9-4CD7562FF0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65" name="Picture 1482" descr="spacer">
          <a:extLst>
            <a:ext uri="{FF2B5EF4-FFF2-40B4-BE49-F238E27FC236}">
              <a16:creationId xmlns:a16="http://schemas.microsoft.com/office/drawing/2014/main" id="{6D2EC4D8-5583-44C5-B403-A8FD33A368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66" name="Picture 1483" descr="spacer">
          <a:extLst>
            <a:ext uri="{FF2B5EF4-FFF2-40B4-BE49-F238E27FC236}">
              <a16:creationId xmlns:a16="http://schemas.microsoft.com/office/drawing/2014/main" id="{4A2FA85C-91DF-482A-956E-531F0BF9C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67" name="Picture 1484" descr="spacer">
          <a:extLst>
            <a:ext uri="{FF2B5EF4-FFF2-40B4-BE49-F238E27FC236}">
              <a16:creationId xmlns:a16="http://schemas.microsoft.com/office/drawing/2014/main" id="{F68E53A7-82C1-4937-82DB-CE48F9B80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68" name="Picture 1485" descr="spacer">
          <a:extLst>
            <a:ext uri="{FF2B5EF4-FFF2-40B4-BE49-F238E27FC236}">
              <a16:creationId xmlns:a16="http://schemas.microsoft.com/office/drawing/2014/main" id="{F22739B5-E14D-4AFF-841D-4F2E0CC05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69" name="Picture 1486" descr="spacer">
          <a:extLst>
            <a:ext uri="{FF2B5EF4-FFF2-40B4-BE49-F238E27FC236}">
              <a16:creationId xmlns:a16="http://schemas.microsoft.com/office/drawing/2014/main" id="{0FC7B4AA-2591-4F52-A514-329564846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70" name="Picture 1487" descr="spacer">
          <a:extLst>
            <a:ext uri="{FF2B5EF4-FFF2-40B4-BE49-F238E27FC236}">
              <a16:creationId xmlns:a16="http://schemas.microsoft.com/office/drawing/2014/main" id="{6082F5AF-2FBA-47C4-A597-CE367C120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71" name="Picture 1488" descr="spacer">
          <a:extLst>
            <a:ext uri="{FF2B5EF4-FFF2-40B4-BE49-F238E27FC236}">
              <a16:creationId xmlns:a16="http://schemas.microsoft.com/office/drawing/2014/main" id="{7747D495-FBD2-478C-B14C-12044381C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72" name="Picture 1489" descr="spacer">
          <a:extLst>
            <a:ext uri="{FF2B5EF4-FFF2-40B4-BE49-F238E27FC236}">
              <a16:creationId xmlns:a16="http://schemas.microsoft.com/office/drawing/2014/main" id="{229DA0AC-40C7-467C-AEA6-5A68A7D223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73" name="Picture 1490" descr="spacer">
          <a:extLst>
            <a:ext uri="{FF2B5EF4-FFF2-40B4-BE49-F238E27FC236}">
              <a16:creationId xmlns:a16="http://schemas.microsoft.com/office/drawing/2014/main" id="{9C6ABA92-99B5-4090-AA41-FC1B9B0F1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74" name="Picture 1491" descr="spacer">
          <a:extLst>
            <a:ext uri="{FF2B5EF4-FFF2-40B4-BE49-F238E27FC236}">
              <a16:creationId xmlns:a16="http://schemas.microsoft.com/office/drawing/2014/main" id="{C6ABFB75-0245-43C2-BD9E-33F1B4252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75" name="Picture 1492" descr="spacer">
          <a:extLst>
            <a:ext uri="{FF2B5EF4-FFF2-40B4-BE49-F238E27FC236}">
              <a16:creationId xmlns:a16="http://schemas.microsoft.com/office/drawing/2014/main" id="{612FC12F-23D3-49D4-9AEC-56ABA93EC2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76" name="Picture 1493" descr="spacer">
          <a:extLst>
            <a:ext uri="{FF2B5EF4-FFF2-40B4-BE49-F238E27FC236}">
              <a16:creationId xmlns:a16="http://schemas.microsoft.com/office/drawing/2014/main" id="{8BC77C67-82B0-4019-B14B-406015A0E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77" name="Picture 1494" descr="spacer">
          <a:extLst>
            <a:ext uri="{FF2B5EF4-FFF2-40B4-BE49-F238E27FC236}">
              <a16:creationId xmlns:a16="http://schemas.microsoft.com/office/drawing/2014/main" id="{2DD366C9-58BB-4F5A-8309-B67F07920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578" name="Picture 1497" descr="spacer">
          <a:extLst>
            <a:ext uri="{FF2B5EF4-FFF2-40B4-BE49-F238E27FC236}">
              <a16:creationId xmlns:a16="http://schemas.microsoft.com/office/drawing/2014/main" id="{0DD3259F-6557-46C4-9D45-A2EBFBFC3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79" name="Picture 1499" descr="spacer">
          <a:extLst>
            <a:ext uri="{FF2B5EF4-FFF2-40B4-BE49-F238E27FC236}">
              <a16:creationId xmlns:a16="http://schemas.microsoft.com/office/drawing/2014/main" id="{15F09C64-D09E-4199-9483-B160BAD21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80" name="Picture 1500" descr="spacer">
          <a:extLst>
            <a:ext uri="{FF2B5EF4-FFF2-40B4-BE49-F238E27FC236}">
              <a16:creationId xmlns:a16="http://schemas.microsoft.com/office/drawing/2014/main" id="{97332269-3A06-4D35-A6A9-22A4212C0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81" name="Picture 1501" descr="spacer">
          <a:extLst>
            <a:ext uri="{FF2B5EF4-FFF2-40B4-BE49-F238E27FC236}">
              <a16:creationId xmlns:a16="http://schemas.microsoft.com/office/drawing/2014/main" id="{BF70118A-104F-4837-9665-F883360D7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82" name="Picture 1502" descr="spacer">
          <a:extLst>
            <a:ext uri="{FF2B5EF4-FFF2-40B4-BE49-F238E27FC236}">
              <a16:creationId xmlns:a16="http://schemas.microsoft.com/office/drawing/2014/main" id="{DD7EA674-FF95-4DD9-88B1-3282D9DFC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83" name="Picture 1503" descr="spacer">
          <a:extLst>
            <a:ext uri="{FF2B5EF4-FFF2-40B4-BE49-F238E27FC236}">
              <a16:creationId xmlns:a16="http://schemas.microsoft.com/office/drawing/2014/main" id="{3803B7F6-8EE7-423D-B87C-A1E6D6EA3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84" name="Picture 1504" descr="spacer">
          <a:extLst>
            <a:ext uri="{FF2B5EF4-FFF2-40B4-BE49-F238E27FC236}">
              <a16:creationId xmlns:a16="http://schemas.microsoft.com/office/drawing/2014/main" id="{72D1D55C-DDF2-468D-84D5-D1B167F5D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85" name="Picture 1505" descr="spacer">
          <a:extLst>
            <a:ext uri="{FF2B5EF4-FFF2-40B4-BE49-F238E27FC236}">
              <a16:creationId xmlns:a16="http://schemas.microsoft.com/office/drawing/2014/main" id="{564F1E23-0DAD-4879-AE81-92C81898C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86" name="Picture 1506" descr="spacer">
          <a:extLst>
            <a:ext uri="{FF2B5EF4-FFF2-40B4-BE49-F238E27FC236}">
              <a16:creationId xmlns:a16="http://schemas.microsoft.com/office/drawing/2014/main" id="{92164384-7FFD-4725-AE1A-3DA222351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87" name="Picture 1507" descr="spacer">
          <a:extLst>
            <a:ext uri="{FF2B5EF4-FFF2-40B4-BE49-F238E27FC236}">
              <a16:creationId xmlns:a16="http://schemas.microsoft.com/office/drawing/2014/main" id="{B3190944-2DD4-439A-87C1-29C1EB7AE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88" name="Picture 1508" descr="spacer">
          <a:extLst>
            <a:ext uri="{FF2B5EF4-FFF2-40B4-BE49-F238E27FC236}">
              <a16:creationId xmlns:a16="http://schemas.microsoft.com/office/drawing/2014/main" id="{979F03EE-D38F-40AE-A1E1-A64858BF7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89" name="Picture 1509" descr="spacer">
          <a:extLst>
            <a:ext uri="{FF2B5EF4-FFF2-40B4-BE49-F238E27FC236}">
              <a16:creationId xmlns:a16="http://schemas.microsoft.com/office/drawing/2014/main" id="{FED80FC0-B103-426F-AD6E-58D387AA8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90" name="Picture 1510" descr="spacer">
          <a:extLst>
            <a:ext uri="{FF2B5EF4-FFF2-40B4-BE49-F238E27FC236}">
              <a16:creationId xmlns:a16="http://schemas.microsoft.com/office/drawing/2014/main" id="{9F7EBE35-0CE2-457F-9DBA-815FDDDE5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91" name="Picture 1511" descr="spacer">
          <a:extLst>
            <a:ext uri="{FF2B5EF4-FFF2-40B4-BE49-F238E27FC236}">
              <a16:creationId xmlns:a16="http://schemas.microsoft.com/office/drawing/2014/main" id="{B3B50221-6997-4BF0-B769-1B4030A80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592" name="Picture 1514" descr="spacer">
          <a:extLst>
            <a:ext uri="{FF2B5EF4-FFF2-40B4-BE49-F238E27FC236}">
              <a16:creationId xmlns:a16="http://schemas.microsoft.com/office/drawing/2014/main" id="{15E95F8B-5284-4386-BB36-FA979937C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93" name="Picture 1516" descr="spacer">
          <a:extLst>
            <a:ext uri="{FF2B5EF4-FFF2-40B4-BE49-F238E27FC236}">
              <a16:creationId xmlns:a16="http://schemas.microsoft.com/office/drawing/2014/main" id="{90A946B3-DE03-4C00-B2FF-418BAEEF14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94" name="Picture 1517" descr="spacer">
          <a:extLst>
            <a:ext uri="{FF2B5EF4-FFF2-40B4-BE49-F238E27FC236}">
              <a16:creationId xmlns:a16="http://schemas.microsoft.com/office/drawing/2014/main" id="{B70954CB-977E-47C2-91BD-B5B5A7494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95" name="Picture 1518" descr="spacer">
          <a:extLst>
            <a:ext uri="{FF2B5EF4-FFF2-40B4-BE49-F238E27FC236}">
              <a16:creationId xmlns:a16="http://schemas.microsoft.com/office/drawing/2014/main" id="{B87390E0-94FD-408C-BD53-B2E8ECAFD4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96" name="Picture 1519" descr="spacer">
          <a:extLst>
            <a:ext uri="{FF2B5EF4-FFF2-40B4-BE49-F238E27FC236}">
              <a16:creationId xmlns:a16="http://schemas.microsoft.com/office/drawing/2014/main" id="{B9CBC535-1C2F-4E70-9738-AF3EBC090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97" name="Picture 1520" descr="spacer">
          <a:extLst>
            <a:ext uri="{FF2B5EF4-FFF2-40B4-BE49-F238E27FC236}">
              <a16:creationId xmlns:a16="http://schemas.microsoft.com/office/drawing/2014/main" id="{3922DFBE-E70F-4E5E-B571-1CA9FF12D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98" name="Picture 1521" descr="spacer">
          <a:extLst>
            <a:ext uri="{FF2B5EF4-FFF2-40B4-BE49-F238E27FC236}">
              <a16:creationId xmlns:a16="http://schemas.microsoft.com/office/drawing/2014/main" id="{90948228-F8F8-411E-AD61-45E7C3AE2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599" name="Picture 1522" descr="spacer">
          <a:extLst>
            <a:ext uri="{FF2B5EF4-FFF2-40B4-BE49-F238E27FC236}">
              <a16:creationId xmlns:a16="http://schemas.microsoft.com/office/drawing/2014/main" id="{9F6910F0-3A48-47C4-BA3A-69146D91E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00" name="Picture 1523" descr="spacer">
          <a:extLst>
            <a:ext uri="{FF2B5EF4-FFF2-40B4-BE49-F238E27FC236}">
              <a16:creationId xmlns:a16="http://schemas.microsoft.com/office/drawing/2014/main" id="{663D4E12-8A2C-4FEA-B011-17A7E1A93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01" name="Picture 1524" descr="spacer">
          <a:extLst>
            <a:ext uri="{FF2B5EF4-FFF2-40B4-BE49-F238E27FC236}">
              <a16:creationId xmlns:a16="http://schemas.microsoft.com/office/drawing/2014/main" id="{249D8E7F-6D7D-49EA-972F-9579856D5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02" name="Picture 1525" descr="spacer">
          <a:extLst>
            <a:ext uri="{FF2B5EF4-FFF2-40B4-BE49-F238E27FC236}">
              <a16:creationId xmlns:a16="http://schemas.microsoft.com/office/drawing/2014/main" id="{74968015-B6C8-4502-926E-9CCD9752B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03" name="Picture 1526" descr="spacer">
          <a:extLst>
            <a:ext uri="{FF2B5EF4-FFF2-40B4-BE49-F238E27FC236}">
              <a16:creationId xmlns:a16="http://schemas.microsoft.com/office/drawing/2014/main" id="{93570C0B-6D43-4121-9608-90085FD5E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04" name="Picture 1527" descr="spacer">
          <a:extLst>
            <a:ext uri="{FF2B5EF4-FFF2-40B4-BE49-F238E27FC236}">
              <a16:creationId xmlns:a16="http://schemas.microsoft.com/office/drawing/2014/main" id="{63F957F4-2465-4C76-B1BC-F54350E05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05" name="Picture 1528" descr="spacer">
          <a:extLst>
            <a:ext uri="{FF2B5EF4-FFF2-40B4-BE49-F238E27FC236}">
              <a16:creationId xmlns:a16="http://schemas.microsoft.com/office/drawing/2014/main" id="{672923CC-CFCE-4A39-8ECA-96725F3D1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06" name="Picture 1529" descr="spacer">
          <a:extLst>
            <a:ext uri="{FF2B5EF4-FFF2-40B4-BE49-F238E27FC236}">
              <a16:creationId xmlns:a16="http://schemas.microsoft.com/office/drawing/2014/main" id="{17B1DA7F-4508-4E3D-9FBA-2FD11C1DE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607" name="Picture 1532" descr="spacer">
          <a:extLst>
            <a:ext uri="{FF2B5EF4-FFF2-40B4-BE49-F238E27FC236}">
              <a16:creationId xmlns:a16="http://schemas.microsoft.com/office/drawing/2014/main" id="{474F9D99-85E2-42D7-BEF5-ACE37AB8B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08" name="Picture 1534" descr="spacer">
          <a:extLst>
            <a:ext uri="{FF2B5EF4-FFF2-40B4-BE49-F238E27FC236}">
              <a16:creationId xmlns:a16="http://schemas.microsoft.com/office/drawing/2014/main" id="{1B7F52F3-9BF4-43F3-8FF4-06BC5838D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09" name="Picture 1535" descr="spacer">
          <a:extLst>
            <a:ext uri="{FF2B5EF4-FFF2-40B4-BE49-F238E27FC236}">
              <a16:creationId xmlns:a16="http://schemas.microsoft.com/office/drawing/2014/main" id="{553A1BB6-C2ED-480A-8FDD-76AF2941E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10" name="Picture 1536" descr="spacer">
          <a:extLst>
            <a:ext uri="{FF2B5EF4-FFF2-40B4-BE49-F238E27FC236}">
              <a16:creationId xmlns:a16="http://schemas.microsoft.com/office/drawing/2014/main" id="{480E0AA6-260D-443D-A772-B3FEDFB7A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11" name="Picture 1537" descr="spacer">
          <a:extLst>
            <a:ext uri="{FF2B5EF4-FFF2-40B4-BE49-F238E27FC236}">
              <a16:creationId xmlns:a16="http://schemas.microsoft.com/office/drawing/2014/main" id="{0159BA2B-7FAD-4F85-8073-6248139C7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12" name="Picture 1538" descr="spacer">
          <a:extLst>
            <a:ext uri="{FF2B5EF4-FFF2-40B4-BE49-F238E27FC236}">
              <a16:creationId xmlns:a16="http://schemas.microsoft.com/office/drawing/2014/main" id="{C84631D8-BB3A-48D2-B008-511EC7200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13" name="Picture 1539" descr="spacer">
          <a:extLst>
            <a:ext uri="{FF2B5EF4-FFF2-40B4-BE49-F238E27FC236}">
              <a16:creationId xmlns:a16="http://schemas.microsoft.com/office/drawing/2014/main" id="{5DBCD4C9-842C-45B4-A18C-887735FCD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14" name="Picture 1540" descr="spacer">
          <a:extLst>
            <a:ext uri="{FF2B5EF4-FFF2-40B4-BE49-F238E27FC236}">
              <a16:creationId xmlns:a16="http://schemas.microsoft.com/office/drawing/2014/main" id="{E0FF1FE1-6C54-4002-BEB0-1C3EA387B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15" name="Picture 1541" descr="spacer">
          <a:extLst>
            <a:ext uri="{FF2B5EF4-FFF2-40B4-BE49-F238E27FC236}">
              <a16:creationId xmlns:a16="http://schemas.microsoft.com/office/drawing/2014/main" id="{27DF76F7-55B9-4C00-B733-25CD11C329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16" name="Picture 1542" descr="spacer">
          <a:extLst>
            <a:ext uri="{FF2B5EF4-FFF2-40B4-BE49-F238E27FC236}">
              <a16:creationId xmlns:a16="http://schemas.microsoft.com/office/drawing/2014/main" id="{A8859B4B-A2EE-4351-AD2C-40F132346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17" name="Picture 1543" descr="spacer">
          <a:extLst>
            <a:ext uri="{FF2B5EF4-FFF2-40B4-BE49-F238E27FC236}">
              <a16:creationId xmlns:a16="http://schemas.microsoft.com/office/drawing/2014/main" id="{84ABEDDA-DE67-4B8E-A458-220D093B2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18" name="Picture 1544" descr="spacer">
          <a:extLst>
            <a:ext uri="{FF2B5EF4-FFF2-40B4-BE49-F238E27FC236}">
              <a16:creationId xmlns:a16="http://schemas.microsoft.com/office/drawing/2014/main" id="{3AAD9064-F871-4B0F-8E43-8D6125FE9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19" name="Picture 1545" descr="spacer">
          <a:extLst>
            <a:ext uri="{FF2B5EF4-FFF2-40B4-BE49-F238E27FC236}">
              <a16:creationId xmlns:a16="http://schemas.microsoft.com/office/drawing/2014/main" id="{7FDEAE6D-8C13-4B0A-95E6-0C5B47F65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20" name="Picture 1546" descr="spacer">
          <a:extLst>
            <a:ext uri="{FF2B5EF4-FFF2-40B4-BE49-F238E27FC236}">
              <a16:creationId xmlns:a16="http://schemas.microsoft.com/office/drawing/2014/main" id="{B212E6F4-9D46-4E9A-BD13-FC71BE06C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621" name="Picture 1549" descr="spacer">
          <a:extLst>
            <a:ext uri="{FF2B5EF4-FFF2-40B4-BE49-F238E27FC236}">
              <a16:creationId xmlns:a16="http://schemas.microsoft.com/office/drawing/2014/main" id="{C195C96F-77BD-4327-8EDE-75A243FA0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22" name="Picture 1551" descr="spacer">
          <a:extLst>
            <a:ext uri="{FF2B5EF4-FFF2-40B4-BE49-F238E27FC236}">
              <a16:creationId xmlns:a16="http://schemas.microsoft.com/office/drawing/2014/main" id="{FE3EF1D3-1D3D-45F1-AAE5-0452CC588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23" name="Picture 1552" descr="spacer">
          <a:extLst>
            <a:ext uri="{FF2B5EF4-FFF2-40B4-BE49-F238E27FC236}">
              <a16:creationId xmlns:a16="http://schemas.microsoft.com/office/drawing/2014/main" id="{ED66A6A3-F88C-428A-AFDC-A3FCB6560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24" name="Picture 1553" descr="spacer">
          <a:extLst>
            <a:ext uri="{FF2B5EF4-FFF2-40B4-BE49-F238E27FC236}">
              <a16:creationId xmlns:a16="http://schemas.microsoft.com/office/drawing/2014/main" id="{329CBC43-77D8-41BE-BE57-10BD909EA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25" name="Picture 1554" descr="spacer">
          <a:extLst>
            <a:ext uri="{FF2B5EF4-FFF2-40B4-BE49-F238E27FC236}">
              <a16:creationId xmlns:a16="http://schemas.microsoft.com/office/drawing/2014/main" id="{175C17EB-0F85-485D-958C-FA1D706BA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26" name="Picture 1555" descr="spacer">
          <a:extLst>
            <a:ext uri="{FF2B5EF4-FFF2-40B4-BE49-F238E27FC236}">
              <a16:creationId xmlns:a16="http://schemas.microsoft.com/office/drawing/2014/main" id="{71936C4F-2117-4A29-A950-7F3BAD72B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27" name="Picture 1556" descr="spacer">
          <a:extLst>
            <a:ext uri="{FF2B5EF4-FFF2-40B4-BE49-F238E27FC236}">
              <a16:creationId xmlns:a16="http://schemas.microsoft.com/office/drawing/2014/main" id="{AC3D92F6-C8A7-48FB-8CFB-ACD19A972D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28" name="Picture 1557" descr="spacer">
          <a:extLst>
            <a:ext uri="{FF2B5EF4-FFF2-40B4-BE49-F238E27FC236}">
              <a16:creationId xmlns:a16="http://schemas.microsoft.com/office/drawing/2014/main" id="{1B1F7D08-FEDF-4EE7-AC40-433418B12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29" name="Picture 1558" descr="spacer">
          <a:extLst>
            <a:ext uri="{FF2B5EF4-FFF2-40B4-BE49-F238E27FC236}">
              <a16:creationId xmlns:a16="http://schemas.microsoft.com/office/drawing/2014/main" id="{A50D56F3-4FEF-4784-B2F4-BA08C7959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30" name="Picture 1559" descr="spacer">
          <a:extLst>
            <a:ext uri="{FF2B5EF4-FFF2-40B4-BE49-F238E27FC236}">
              <a16:creationId xmlns:a16="http://schemas.microsoft.com/office/drawing/2014/main" id="{3F0D064E-882E-42B1-9063-7D3AE3F84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31" name="Picture 1560" descr="spacer">
          <a:extLst>
            <a:ext uri="{FF2B5EF4-FFF2-40B4-BE49-F238E27FC236}">
              <a16:creationId xmlns:a16="http://schemas.microsoft.com/office/drawing/2014/main" id="{9CB035FB-42FD-4693-B79C-737E92322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32" name="Picture 1561" descr="spacer">
          <a:extLst>
            <a:ext uri="{FF2B5EF4-FFF2-40B4-BE49-F238E27FC236}">
              <a16:creationId xmlns:a16="http://schemas.microsoft.com/office/drawing/2014/main" id="{DFADF67E-FFD7-4CEB-9476-410FF7779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633" name="Picture 1564" descr="spacer">
          <a:extLst>
            <a:ext uri="{FF2B5EF4-FFF2-40B4-BE49-F238E27FC236}">
              <a16:creationId xmlns:a16="http://schemas.microsoft.com/office/drawing/2014/main" id="{9D4CD7FE-1E66-4914-A991-DCE181DE5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34" name="Picture 1566" descr="spacer">
          <a:extLst>
            <a:ext uri="{FF2B5EF4-FFF2-40B4-BE49-F238E27FC236}">
              <a16:creationId xmlns:a16="http://schemas.microsoft.com/office/drawing/2014/main" id="{7B87D668-F2F3-4B10-8B24-3AF40112C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35" name="Picture 1567" descr="spacer">
          <a:extLst>
            <a:ext uri="{FF2B5EF4-FFF2-40B4-BE49-F238E27FC236}">
              <a16:creationId xmlns:a16="http://schemas.microsoft.com/office/drawing/2014/main" id="{61CB9AE1-EB28-46F3-A15D-00CB754CA7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36" name="Picture 1568" descr="spacer">
          <a:extLst>
            <a:ext uri="{FF2B5EF4-FFF2-40B4-BE49-F238E27FC236}">
              <a16:creationId xmlns:a16="http://schemas.microsoft.com/office/drawing/2014/main" id="{4A8CC244-5AC0-432F-9129-8231C30E9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37" name="Picture 1569" descr="spacer">
          <a:extLst>
            <a:ext uri="{FF2B5EF4-FFF2-40B4-BE49-F238E27FC236}">
              <a16:creationId xmlns:a16="http://schemas.microsoft.com/office/drawing/2014/main" id="{2854C2A0-0CD9-4AD6-BAC6-39D0FCB84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38" name="Picture 1570" descr="spacer">
          <a:extLst>
            <a:ext uri="{FF2B5EF4-FFF2-40B4-BE49-F238E27FC236}">
              <a16:creationId xmlns:a16="http://schemas.microsoft.com/office/drawing/2014/main" id="{0DADCCEF-0912-463F-BF23-41B303C6D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39" name="Picture 1571" descr="spacer">
          <a:extLst>
            <a:ext uri="{FF2B5EF4-FFF2-40B4-BE49-F238E27FC236}">
              <a16:creationId xmlns:a16="http://schemas.microsoft.com/office/drawing/2014/main" id="{7E425042-4466-40A8-8EA5-6ED114E1D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40" name="Picture 1572" descr="spacer">
          <a:extLst>
            <a:ext uri="{FF2B5EF4-FFF2-40B4-BE49-F238E27FC236}">
              <a16:creationId xmlns:a16="http://schemas.microsoft.com/office/drawing/2014/main" id="{12090B8D-8363-48C6-B8C0-D0005CD39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41" name="Picture 1573" descr="spacer">
          <a:extLst>
            <a:ext uri="{FF2B5EF4-FFF2-40B4-BE49-F238E27FC236}">
              <a16:creationId xmlns:a16="http://schemas.microsoft.com/office/drawing/2014/main" id="{F927702E-7BD5-4BD9-8098-CAED4CDFC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42" name="Picture 1574" descr="spacer">
          <a:extLst>
            <a:ext uri="{FF2B5EF4-FFF2-40B4-BE49-F238E27FC236}">
              <a16:creationId xmlns:a16="http://schemas.microsoft.com/office/drawing/2014/main" id="{0FCD3797-1BAC-4A70-AC19-0E1B219136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43" name="Picture 1575" descr="spacer">
          <a:extLst>
            <a:ext uri="{FF2B5EF4-FFF2-40B4-BE49-F238E27FC236}">
              <a16:creationId xmlns:a16="http://schemas.microsoft.com/office/drawing/2014/main" id="{3DEA5FFD-3F20-4911-BF7F-D8A7B42BB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644" name="Picture 1578" descr="spacer">
          <a:extLst>
            <a:ext uri="{FF2B5EF4-FFF2-40B4-BE49-F238E27FC236}">
              <a16:creationId xmlns:a16="http://schemas.microsoft.com/office/drawing/2014/main" id="{CE430BB8-1325-4BF8-84DD-181D6109A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45" name="Picture 1580" descr="spacer">
          <a:extLst>
            <a:ext uri="{FF2B5EF4-FFF2-40B4-BE49-F238E27FC236}">
              <a16:creationId xmlns:a16="http://schemas.microsoft.com/office/drawing/2014/main" id="{FDB3139A-B77C-45EF-B944-9D9FF07F4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46" name="Picture 1581" descr="spacer">
          <a:extLst>
            <a:ext uri="{FF2B5EF4-FFF2-40B4-BE49-F238E27FC236}">
              <a16:creationId xmlns:a16="http://schemas.microsoft.com/office/drawing/2014/main" id="{EBBE3F2C-9C1E-40ED-82DF-A021DFBD6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47" name="Picture 1582" descr="spacer">
          <a:extLst>
            <a:ext uri="{FF2B5EF4-FFF2-40B4-BE49-F238E27FC236}">
              <a16:creationId xmlns:a16="http://schemas.microsoft.com/office/drawing/2014/main" id="{501074CF-F424-410C-BB52-189355B89C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48" name="Picture 1583" descr="spacer">
          <a:extLst>
            <a:ext uri="{FF2B5EF4-FFF2-40B4-BE49-F238E27FC236}">
              <a16:creationId xmlns:a16="http://schemas.microsoft.com/office/drawing/2014/main" id="{92DCBC69-7A98-4E30-8E1B-29A802D4B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49" name="Picture 1584" descr="spacer">
          <a:extLst>
            <a:ext uri="{FF2B5EF4-FFF2-40B4-BE49-F238E27FC236}">
              <a16:creationId xmlns:a16="http://schemas.microsoft.com/office/drawing/2014/main" id="{7B230EB6-0A34-4501-98B8-2F2CF14B0F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50" name="Picture 1585" descr="spacer">
          <a:extLst>
            <a:ext uri="{FF2B5EF4-FFF2-40B4-BE49-F238E27FC236}">
              <a16:creationId xmlns:a16="http://schemas.microsoft.com/office/drawing/2014/main" id="{071D717B-0F49-4F53-A4B9-B37A1E7537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51" name="Picture 1586" descr="spacer">
          <a:extLst>
            <a:ext uri="{FF2B5EF4-FFF2-40B4-BE49-F238E27FC236}">
              <a16:creationId xmlns:a16="http://schemas.microsoft.com/office/drawing/2014/main" id="{603BD4CA-2C7B-4AFD-BECF-EA07CB2A4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52" name="Picture 1587" descr="spacer">
          <a:extLst>
            <a:ext uri="{FF2B5EF4-FFF2-40B4-BE49-F238E27FC236}">
              <a16:creationId xmlns:a16="http://schemas.microsoft.com/office/drawing/2014/main" id="{05426A0C-0241-4FF3-87E0-DD0A00750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53" name="Picture 1588" descr="spacer">
          <a:extLst>
            <a:ext uri="{FF2B5EF4-FFF2-40B4-BE49-F238E27FC236}">
              <a16:creationId xmlns:a16="http://schemas.microsoft.com/office/drawing/2014/main" id="{275DF0AF-5538-4CEC-A822-DFC4B8F6F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54" name="Picture 1589" descr="spacer">
          <a:extLst>
            <a:ext uri="{FF2B5EF4-FFF2-40B4-BE49-F238E27FC236}">
              <a16:creationId xmlns:a16="http://schemas.microsoft.com/office/drawing/2014/main" id="{C8A54F3A-0057-47AC-ADFB-523620B3D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55" name="Picture 1590" descr="spacer">
          <a:extLst>
            <a:ext uri="{FF2B5EF4-FFF2-40B4-BE49-F238E27FC236}">
              <a16:creationId xmlns:a16="http://schemas.microsoft.com/office/drawing/2014/main" id="{174FB601-C4FD-4E01-8152-FE7542F1EC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56" name="Picture 1591" descr="spacer">
          <a:extLst>
            <a:ext uri="{FF2B5EF4-FFF2-40B4-BE49-F238E27FC236}">
              <a16:creationId xmlns:a16="http://schemas.microsoft.com/office/drawing/2014/main" id="{CA0123B9-5B98-4C3B-BF6B-9681AF4BE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57" name="Picture 1592" descr="spacer">
          <a:extLst>
            <a:ext uri="{FF2B5EF4-FFF2-40B4-BE49-F238E27FC236}">
              <a16:creationId xmlns:a16="http://schemas.microsoft.com/office/drawing/2014/main" id="{56D183C3-F4AE-4AD4-9F36-0CCB65725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58" name="Picture 1593" descr="spacer">
          <a:extLst>
            <a:ext uri="{FF2B5EF4-FFF2-40B4-BE49-F238E27FC236}">
              <a16:creationId xmlns:a16="http://schemas.microsoft.com/office/drawing/2014/main" id="{74EAA6A9-4A83-4C1C-B59B-02E35ADDD2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659" name="Picture 1596" descr="spacer">
          <a:extLst>
            <a:ext uri="{FF2B5EF4-FFF2-40B4-BE49-F238E27FC236}">
              <a16:creationId xmlns:a16="http://schemas.microsoft.com/office/drawing/2014/main" id="{61EB23E0-6661-4D5E-866B-E46E6E8098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60" name="Picture 1598" descr="spacer">
          <a:extLst>
            <a:ext uri="{FF2B5EF4-FFF2-40B4-BE49-F238E27FC236}">
              <a16:creationId xmlns:a16="http://schemas.microsoft.com/office/drawing/2014/main" id="{B1809666-61DE-4EA3-97CC-78BF10A552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61" name="Picture 1599" descr="spacer">
          <a:extLst>
            <a:ext uri="{FF2B5EF4-FFF2-40B4-BE49-F238E27FC236}">
              <a16:creationId xmlns:a16="http://schemas.microsoft.com/office/drawing/2014/main" id="{0F1A1FEC-833F-4ECB-82D9-E860E44F6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62" name="Picture 1600" descr="spacer">
          <a:extLst>
            <a:ext uri="{FF2B5EF4-FFF2-40B4-BE49-F238E27FC236}">
              <a16:creationId xmlns:a16="http://schemas.microsoft.com/office/drawing/2014/main" id="{3AFA4DA4-E246-4936-8F38-8FECDFDFD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63" name="Picture 1601" descr="spacer">
          <a:extLst>
            <a:ext uri="{FF2B5EF4-FFF2-40B4-BE49-F238E27FC236}">
              <a16:creationId xmlns:a16="http://schemas.microsoft.com/office/drawing/2014/main" id="{AACE3DD3-545A-4256-849D-8C433B2EF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64" name="Picture 1602" descr="spacer">
          <a:extLst>
            <a:ext uri="{FF2B5EF4-FFF2-40B4-BE49-F238E27FC236}">
              <a16:creationId xmlns:a16="http://schemas.microsoft.com/office/drawing/2014/main" id="{C4EC3FD0-F5A2-421B-9D4E-575ADDA35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65" name="Picture 1603" descr="spacer">
          <a:extLst>
            <a:ext uri="{FF2B5EF4-FFF2-40B4-BE49-F238E27FC236}">
              <a16:creationId xmlns:a16="http://schemas.microsoft.com/office/drawing/2014/main" id="{160F1156-BC4F-46B9-A7F1-37BB0E824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66" name="Picture 1604" descr="spacer">
          <a:extLst>
            <a:ext uri="{FF2B5EF4-FFF2-40B4-BE49-F238E27FC236}">
              <a16:creationId xmlns:a16="http://schemas.microsoft.com/office/drawing/2014/main" id="{AED557AE-9285-436B-9E4F-7A16C841F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67" name="Picture 1605" descr="spacer">
          <a:extLst>
            <a:ext uri="{FF2B5EF4-FFF2-40B4-BE49-F238E27FC236}">
              <a16:creationId xmlns:a16="http://schemas.microsoft.com/office/drawing/2014/main" id="{11ED490A-E34C-4E22-90A7-E35262B81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68" name="Picture 1606" descr="spacer">
          <a:extLst>
            <a:ext uri="{FF2B5EF4-FFF2-40B4-BE49-F238E27FC236}">
              <a16:creationId xmlns:a16="http://schemas.microsoft.com/office/drawing/2014/main" id="{2899FD7D-EE70-485C-B2A2-8B60DEA2F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69" name="Picture 1607" descr="spacer">
          <a:extLst>
            <a:ext uri="{FF2B5EF4-FFF2-40B4-BE49-F238E27FC236}">
              <a16:creationId xmlns:a16="http://schemas.microsoft.com/office/drawing/2014/main" id="{6F7B5508-3BC3-4BE7-86D2-6926085C2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70" name="Picture 1608" descr="spacer">
          <a:extLst>
            <a:ext uri="{FF2B5EF4-FFF2-40B4-BE49-F238E27FC236}">
              <a16:creationId xmlns:a16="http://schemas.microsoft.com/office/drawing/2014/main" id="{6602F487-8E27-4CDF-9802-9F030FE1A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71" name="Picture 1609" descr="spacer">
          <a:extLst>
            <a:ext uri="{FF2B5EF4-FFF2-40B4-BE49-F238E27FC236}">
              <a16:creationId xmlns:a16="http://schemas.microsoft.com/office/drawing/2014/main" id="{D5637638-15D4-4424-94A1-D3097B78D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72" name="Picture 1610" descr="spacer">
          <a:extLst>
            <a:ext uri="{FF2B5EF4-FFF2-40B4-BE49-F238E27FC236}">
              <a16:creationId xmlns:a16="http://schemas.microsoft.com/office/drawing/2014/main" id="{942CEB48-9120-4A19-849B-757550E86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673" name="Picture 1613" descr="spacer">
          <a:extLst>
            <a:ext uri="{FF2B5EF4-FFF2-40B4-BE49-F238E27FC236}">
              <a16:creationId xmlns:a16="http://schemas.microsoft.com/office/drawing/2014/main" id="{A9D42CC9-0540-461B-A95C-5AF159448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74" name="Picture 1615" descr="spacer">
          <a:extLst>
            <a:ext uri="{FF2B5EF4-FFF2-40B4-BE49-F238E27FC236}">
              <a16:creationId xmlns:a16="http://schemas.microsoft.com/office/drawing/2014/main" id="{A6CF9BBE-CF94-4355-AAF3-292CF2C70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75" name="Picture 1616" descr="spacer">
          <a:extLst>
            <a:ext uri="{FF2B5EF4-FFF2-40B4-BE49-F238E27FC236}">
              <a16:creationId xmlns:a16="http://schemas.microsoft.com/office/drawing/2014/main" id="{D04D2293-CADE-4BF8-8756-A320915B4C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76" name="Picture 1617" descr="spacer">
          <a:extLst>
            <a:ext uri="{FF2B5EF4-FFF2-40B4-BE49-F238E27FC236}">
              <a16:creationId xmlns:a16="http://schemas.microsoft.com/office/drawing/2014/main" id="{E8401644-31F7-43A5-B00A-34881F365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77" name="Picture 1618" descr="spacer">
          <a:extLst>
            <a:ext uri="{FF2B5EF4-FFF2-40B4-BE49-F238E27FC236}">
              <a16:creationId xmlns:a16="http://schemas.microsoft.com/office/drawing/2014/main" id="{AB995235-B291-4D85-B925-184C0D9B9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78" name="Picture 1619" descr="spacer">
          <a:extLst>
            <a:ext uri="{FF2B5EF4-FFF2-40B4-BE49-F238E27FC236}">
              <a16:creationId xmlns:a16="http://schemas.microsoft.com/office/drawing/2014/main" id="{BAA1906A-4A64-4B59-9D8D-F773A65A6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79" name="Picture 1620" descr="spacer">
          <a:extLst>
            <a:ext uri="{FF2B5EF4-FFF2-40B4-BE49-F238E27FC236}">
              <a16:creationId xmlns:a16="http://schemas.microsoft.com/office/drawing/2014/main" id="{3B9A45D4-2A33-4B4E-943B-D9C08D43C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80" name="Picture 1621" descr="spacer">
          <a:extLst>
            <a:ext uri="{FF2B5EF4-FFF2-40B4-BE49-F238E27FC236}">
              <a16:creationId xmlns:a16="http://schemas.microsoft.com/office/drawing/2014/main" id="{AE73DA49-9779-4A4B-9326-1237B49B0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81" name="Picture 1622" descr="spacer">
          <a:extLst>
            <a:ext uri="{FF2B5EF4-FFF2-40B4-BE49-F238E27FC236}">
              <a16:creationId xmlns:a16="http://schemas.microsoft.com/office/drawing/2014/main" id="{8CE3D473-E597-4360-9EE0-4FEF678F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82" name="Picture 1623" descr="spacer">
          <a:extLst>
            <a:ext uri="{FF2B5EF4-FFF2-40B4-BE49-F238E27FC236}">
              <a16:creationId xmlns:a16="http://schemas.microsoft.com/office/drawing/2014/main" id="{37BA2A03-191D-476C-BB2D-439F731DF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83" name="Picture 1624" descr="spacer">
          <a:extLst>
            <a:ext uri="{FF2B5EF4-FFF2-40B4-BE49-F238E27FC236}">
              <a16:creationId xmlns:a16="http://schemas.microsoft.com/office/drawing/2014/main" id="{B2C0289A-DBAF-40F1-BCC6-D4C8DC430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84" name="Picture 1625" descr="spacer">
          <a:extLst>
            <a:ext uri="{FF2B5EF4-FFF2-40B4-BE49-F238E27FC236}">
              <a16:creationId xmlns:a16="http://schemas.microsoft.com/office/drawing/2014/main" id="{F66064B4-06DB-4172-A9B6-5F309481B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85" name="Picture 1626" descr="spacer">
          <a:extLst>
            <a:ext uri="{FF2B5EF4-FFF2-40B4-BE49-F238E27FC236}">
              <a16:creationId xmlns:a16="http://schemas.microsoft.com/office/drawing/2014/main" id="{BE22338D-4A42-4001-870A-C967E4EDF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86" name="Picture 1627" descr="spacer">
          <a:extLst>
            <a:ext uri="{FF2B5EF4-FFF2-40B4-BE49-F238E27FC236}">
              <a16:creationId xmlns:a16="http://schemas.microsoft.com/office/drawing/2014/main" id="{D93090D5-ECC2-43D8-85FE-55CB16052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87" name="Picture 1628" descr="spacer">
          <a:extLst>
            <a:ext uri="{FF2B5EF4-FFF2-40B4-BE49-F238E27FC236}">
              <a16:creationId xmlns:a16="http://schemas.microsoft.com/office/drawing/2014/main" id="{628C6AAC-4842-4521-B9C4-914F47306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688" name="Picture 1631" descr="spacer">
          <a:extLst>
            <a:ext uri="{FF2B5EF4-FFF2-40B4-BE49-F238E27FC236}">
              <a16:creationId xmlns:a16="http://schemas.microsoft.com/office/drawing/2014/main" id="{E3FD3F63-4272-4E99-A508-C4A0250B9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89" name="Picture 1633" descr="spacer">
          <a:extLst>
            <a:ext uri="{FF2B5EF4-FFF2-40B4-BE49-F238E27FC236}">
              <a16:creationId xmlns:a16="http://schemas.microsoft.com/office/drawing/2014/main" id="{0E13185B-C29A-41C9-9007-DAE2ED030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90" name="Picture 1634" descr="spacer">
          <a:extLst>
            <a:ext uri="{FF2B5EF4-FFF2-40B4-BE49-F238E27FC236}">
              <a16:creationId xmlns:a16="http://schemas.microsoft.com/office/drawing/2014/main" id="{876211B9-78EE-464A-90E2-C6F608D56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91" name="Picture 1635" descr="spacer">
          <a:extLst>
            <a:ext uri="{FF2B5EF4-FFF2-40B4-BE49-F238E27FC236}">
              <a16:creationId xmlns:a16="http://schemas.microsoft.com/office/drawing/2014/main" id="{080A8755-9CCC-4873-81F6-1D8F11EF2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92" name="Picture 1636" descr="spacer">
          <a:extLst>
            <a:ext uri="{FF2B5EF4-FFF2-40B4-BE49-F238E27FC236}">
              <a16:creationId xmlns:a16="http://schemas.microsoft.com/office/drawing/2014/main" id="{F0A06B43-C6A6-40BD-9E02-6035EE3EE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93" name="Picture 1637" descr="spacer">
          <a:extLst>
            <a:ext uri="{FF2B5EF4-FFF2-40B4-BE49-F238E27FC236}">
              <a16:creationId xmlns:a16="http://schemas.microsoft.com/office/drawing/2014/main" id="{42FF4C64-1720-4E5D-9362-DE4FB5B228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94" name="Picture 1638" descr="spacer">
          <a:extLst>
            <a:ext uri="{FF2B5EF4-FFF2-40B4-BE49-F238E27FC236}">
              <a16:creationId xmlns:a16="http://schemas.microsoft.com/office/drawing/2014/main" id="{C06BB381-532E-4D2F-BE88-41A4EB52D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95" name="Picture 1639" descr="spacer">
          <a:extLst>
            <a:ext uri="{FF2B5EF4-FFF2-40B4-BE49-F238E27FC236}">
              <a16:creationId xmlns:a16="http://schemas.microsoft.com/office/drawing/2014/main" id="{CAEA60DA-2EAB-4808-B5E4-D1799C2E30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96" name="Picture 1640" descr="spacer">
          <a:extLst>
            <a:ext uri="{FF2B5EF4-FFF2-40B4-BE49-F238E27FC236}">
              <a16:creationId xmlns:a16="http://schemas.microsoft.com/office/drawing/2014/main" id="{8A50CDB1-C7BD-4875-AB13-89546665C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97" name="Picture 1641" descr="spacer">
          <a:extLst>
            <a:ext uri="{FF2B5EF4-FFF2-40B4-BE49-F238E27FC236}">
              <a16:creationId xmlns:a16="http://schemas.microsoft.com/office/drawing/2014/main" id="{FEA317A7-E997-43E5-A0EE-3E0049CFEC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698" name="Picture 1642" descr="spacer">
          <a:extLst>
            <a:ext uri="{FF2B5EF4-FFF2-40B4-BE49-F238E27FC236}">
              <a16:creationId xmlns:a16="http://schemas.microsoft.com/office/drawing/2014/main" id="{2D14ABE1-90C6-4AE4-8904-F354967D6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699" name="Picture 1645" descr="spacer">
          <a:extLst>
            <a:ext uri="{FF2B5EF4-FFF2-40B4-BE49-F238E27FC236}">
              <a16:creationId xmlns:a16="http://schemas.microsoft.com/office/drawing/2014/main" id="{1C78C198-D485-4A4A-A98B-70BE0A7817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00" name="Picture 1647" descr="spacer">
          <a:extLst>
            <a:ext uri="{FF2B5EF4-FFF2-40B4-BE49-F238E27FC236}">
              <a16:creationId xmlns:a16="http://schemas.microsoft.com/office/drawing/2014/main" id="{06564A9F-6234-4B90-9E78-EC5BD6B8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01" name="Picture 1648" descr="spacer">
          <a:extLst>
            <a:ext uri="{FF2B5EF4-FFF2-40B4-BE49-F238E27FC236}">
              <a16:creationId xmlns:a16="http://schemas.microsoft.com/office/drawing/2014/main" id="{14A29EF9-D611-486B-B459-B37CD172A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02" name="Picture 1649" descr="spacer">
          <a:extLst>
            <a:ext uri="{FF2B5EF4-FFF2-40B4-BE49-F238E27FC236}">
              <a16:creationId xmlns:a16="http://schemas.microsoft.com/office/drawing/2014/main" id="{E18E7A5D-E6C7-4C75-8C84-3F908AC754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03" name="Picture 1650" descr="spacer">
          <a:extLst>
            <a:ext uri="{FF2B5EF4-FFF2-40B4-BE49-F238E27FC236}">
              <a16:creationId xmlns:a16="http://schemas.microsoft.com/office/drawing/2014/main" id="{F1A2AC2F-5E35-438D-B23F-426AB5540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04" name="Picture 1651" descr="spacer">
          <a:extLst>
            <a:ext uri="{FF2B5EF4-FFF2-40B4-BE49-F238E27FC236}">
              <a16:creationId xmlns:a16="http://schemas.microsoft.com/office/drawing/2014/main" id="{719500B1-782B-420B-BD80-A48F11191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05" name="Picture 1652" descr="spacer">
          <a:extLst>
            <a:ext uri="{FF2B5EF4-FFF2-40B4-BE49-F238E27FC236}">
              <a16:creationId xmlns:a16="http://schemas.microsoft.com/office/drawing/2014/main" id="{0498C09F-A7F6-4E97-918E-D7A16A4FB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06" name="Picture 1653" descr="spacer">
          <a:extLst>
            <a:ext uri="{FF2B5EF4-FFF2-40B4-BE49-F238E27FC236}">
              <a16:creationId xmlns:a16="http://schemas.microsoft.com/office/drawing/2014/main" id="{5C0C09F6-2940-46C9-813E-2B24CC885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07" name="Picture 1654" descr="spacer">
          <a:extLst>
            <a:ext uri="{FF2B5EF4-FFF2-40B4-BE49-F238E27FC236}">
              <a16:creationId xmlns:a16="http://schemas.microsoft.com/office/drawing/2014/main" id="{602E21E2-C5B7-4DF0-9F6E-6470317BC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08" name="Picture 1655" descr="spacer">
          <a:extLst>
            <a:ext uri="{FF2B5EF4-FFF2-40B4-BE49-F238E27FC236}">
              <a16:creationId xmlns:a16="http://schemas.microsoft.com/office/drawing/2014/main" id="{6F418F45-A841-4BE1-AB5E-6DD0CC7F9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09" name="Picture 1656" descr="spacer">
          <a:extLst>
            <a:ext uri="{FF2B5EF4-FFF2-40B4-BE49-F238E27FC236}">
              <a16:creationId xmlns:a16="http://schemas.microsoft.com/office/drawing/2014/main" id="{46AEC3B7-40F1-4AB8-8B74-47DC8C6B1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10" name="Picture 1657" descr="spacer">
          <a:extLst>
            <a:ext uri="{FF2B5EF4-FFF2-40B4-BE49-F238E27FC236}">
              <a16:creationId xmlns:a16="http://schemas.microsoft.com/office/drawing/2014/main" id="{C88AB819-9133-4E77-BFFC-D10A7AD1D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11" name="Picture 1658" descr="spacer">
          <a:extLst>
            <a:ext uri="{FF2B5EF4-FFF2-40B4-BE49-F238E27FC236}">
              <a16:creationId xmlns:a16="http://schemas.microsoft.com/office/drawing/2014/main" id="{E884A05D-17D0-4E80-9AA7-C8F3F85E7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12" name="Picture 1659" descr="spacer">
          <a:extLst>
            <a:ext uri="{FF2B5EF4-FFF2-40B4-BE49-F238E27FC236}">
              <a16:creationId xmlns:a16="http://schemas.microsoft.com/office/drawing/2014/main" id="{4537885A-0AFA-4699-908C-842CCF595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13" name="Picture 1660" descr="spacer">
          <a:extLst>
            <a:ext uri="{FF2B5EF4-FFF2-40B4-BE49-F238E27FC236}">
              <a16:creationId xmlns:a16="http://schemas.microsoft.com/office/drawing/2014/main" id="{91EB8C46-19FD-41FB-92DB-606513B94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714" name="Picture 1663" descr="spacer">
          <a:extLst>
            <a:ext uri="{FF2B5EF4-FFF2-40B4-BE49-F238E27FC236}">
              <a16:creationId xmlns:a16="http://schemas.microsoft.com/office/drawing/2014/main" id="{F51F6D53-46EF-4AC9-B0C7-9C4679ECF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15" name="Picture 1665" descr="spacer">
          <a:extLst>
            <a:ext uri="{FF2B5EF4-FFF2-40B4-BE49-F238E27FC236}">
              <a16:creationId xmlns:a16="http://schemas.microsoft.com/office/drawing/2014/main" id="{A539C5FC-BE6A-405A-A58D-49E1D5531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16" name="Picture 1666" descr="spacer">
          <a:extLst>
            <a:ext uri="{FF2B5EF4-FFF2-40B4-BE49-F238E27FC236}">
              <a16:creationId xmlns:a16="http://schemas.microsoft.com/office/drawing/2014/main" id="{D15FAEEB-A613-48DE-9F1C-12F9EB556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17" name="Picture 1667" descr="spacer">
          <a:extLst>
            <a:ext uri="{FF2B5EF4-FFF2-40B4-BE49-F238E27FC236}">
              <a16:creationId xmlns:a16="http://schemas.microsoft.com/office/drawing/2014/main" id="{DA51D6D5-3909-4105-8F26-AF48EDA77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18" name="Picture 1668" descr="spacer">
          <a:extLst>
            <a:ext uri="{FF2B5EF4-FFF2-40B4-BE49-F238E27FC236}">
              <a16:creationId xmlns:a16="http://schemas.microsoft.com/office/drawing/2014/main" id="{5FB8F887-ADB2-45AF-A45A-523CBFB83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19" name="Picture 1669" descr="spacer">
          <a:extLst>
            <a:ext uri="{FF2B5EF4-FFF2-40B4-BE49-F238E27FC236}">
              <a16:creationId xmlns:a16="http://schemas.microsoft.com/office/drawing/2014/main" id="{E07F0EDF-7587-47C9-B6CA-0783B1F62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20" name="Picture 1670" descr="spacer">
          <a:extLst>
            <a:ext uri="{FF2B5EF4-FFF2-40B4-BE49-F238E27FC236}">
              <a16:creationId xmlns:a16="http://schemas.microsoft.com/office/drawing/2014/main" id="{4843DF42-2ABB-49C3-B7EF-40848A150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21" name="Picture 1671" descr="spacer">
          <a:extLst>
            <a:ext uri="{FF2B5EF4-FFF2-40B4-BE49-F238E27FC236}">
              <a16:creationId xmlns:a16="http://schemas.microsoft.com/office/drawing/2014/main" id="{7E79FA23-0606-4E93-A8C3-421DC3507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22" name="Picture 1672" descr="spacer">
          <a:extLst>
            <a:ext uri="{FF2B5EF4-FFF2-40B4-BE49-F238E27FC236}">
              <a16:creationId xmlns:a16="http://schemas.microsoft.com/office/drawing/2014/main" id="{8C53F9CD-BE80-4E6F-9F91-C1F307449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23" name="Picture 1673" descr="spacer">
          <a:extLst>
            <a:ext uri="{FF2B5EF4-FFF2-40B4-BE49-F238E27FC236}">
              <a16:creationId xmlns:a16="http://schemas.microsoft.com/office/drawing/2014/main" id="{ECA18154-20A8-4CE7-8E1F-41A74464A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24" name="Picture 1674" descr="spacer">
          <a:extLst>
            <a:ext uri="{FF2B5EF4-FFF2-40B4-BE49-F238E27FC236}">
              <a16:creationId xmlns:a16="http://schemas.microsoft.com/office/drawing/2014/main" id="{B3C3FBD6-FEFA-4A61-9817-968BD96914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25" name="Picture 1675" descr="spacer">
          <a:extLst>
            <a:ext uri="{FF2B5EF4-FFF2-40B4-BE49-F238E27FC236}">
              <a16:creationId xmlns:a16="http://schemas.microsoft.com/office/drawing/2014/main" id="{15AE7099-0A45-49CE-A328-814DF238E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26" name="Picture 1676" descr="spacer">
          <a:extLst>
            <a:ext uri="{FF2B5EF4-FFF2-40B4-BE49-F238E27FC236}">
              <a16:creationId xmlns:a16="http://schemas.microsoft.com/office/drawing/2014/main" id="{10FAE66B-4FA9-4C72-8389-E899762F1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27" name="Picture 1677" descr="spacer">
          <a:extLst>
            <a:ext uri="{FF2B5EF4-FFF2-40B4-BE49-F238E27FC236}">
              <a16:creationId xmlns:a16="http://schemas.microsoft.com/office/drawing/2014/main" id="{17B73B6D-4D21-49B9-A9AD-7D2DD52DC3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28" name="Picture 1678" descr="spacer">
          <a:extLst>
            <a:ext uri="{FF2B5EF4-FFF2-40B4-BE49-F238E27FC236}">
              <a16:creationId xmlns:a16="http://schemas.microsoft.com/office/drawing/2014/main" id="{798F4694-468C-452F-B5C2-136369A67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729" name="Picture 1681" descr="spacer">
          <a:extLst>
            <a:ext uri="{FF2B5EF4-FFF2-40B4-BE49-F238E27FC236}">
              <a16:creationId xmlns:a16="http://schemas.microsoft.com/office/drawing/2014/main" id="{BFE30E2E-C03E-40A9-8626-6F8304D7B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30" name="Picture 1683" descr="spacer">
          <a:extLst>
            <a:ext uri="{FF2B5EF4-FFF2-40B4-BE49-F238E27FC236}">
              <a16:creationId xmlns:a16="http://schemas.microsoft.com/office/drawing/2014/main" id="{43BC89DC-68FF-4AD3-A83A-E50C3B1F5A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31" name="Picture 1684" descr="spacer">
          <a:extLst>
            <a:ext uri="{FF2B5EF4-FFF2-40B4-BE49-F238E27FC236}">
              <a16:creationId xmlns:a16="http://schemas.microsoft.com/office/drawing/2014/main" id="{FD7D192B-E943-417A-94F9-609B781EB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32" name="Picture 1685" descr="spacer">
          <a:extLst>
            <a:ext uri="{FF2B5EF4-FFF2-40B4-BE49-F238E27FC236}">
              <a16:creationId xmlns:a16="http://schemas.microsoft.com/office/drawing/2014/main" id="{304DC81D-1B9D-4852-AA9D-FFCC4611D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33" name="Picture 1686" descr="spacer">
          <a:extLst>
            <a:ext uri="{FF2B5EF4-FFF2-40B4-BE49-F238E27FC236}">
              <a16:creationId xmlns:a16="http://schemas.microsoft.com/office/drawing/2014/main" id="{41AB33BE-6AA9-4FB0-9FCD-7D32C98BC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34" name="Picture 1687" descr="spacer">
          <a:extLst>
            <a:ext uri="{FF2B5EF4-FFF2-40B4-BE49-F238E27FC236}">
              <a16:creationId xmlns:a16="http://schemas.microsoft.com/office/drawing/2014/main" id="{8290ED6E-7AAC-423A-A946-65831C61D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35" name="Picture 1688" descr="spacer">
          <a:extLst>
            <a:ext uri="{FF2B5EF4-FFF2-40B4-BE49-F238E27FC236}">
              <a16:creationId xmlns:a16="http://schemas.microsoft.com/office/drawing/2014/main" id="{52B7564E-40E5-4B63-A254-B927146E0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36" name="Picture 1689" descr="spacer">
          <a:extLst>
            <a:ext uri="{FF2B5EF4-FFF2-40B4-BE49-F238E27FC236}">
              <a16:creationId xmlns:a16="http://schemas.microsoft.com/office/drawing/2014/main" id="{4B339FAE-2A9A-42F4-B5A4-35DA9D27C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37" name="Picture 1690" descr="spacer">
          <a:extLst>
            <a:ext uri="{FF2B5EF4-FFF2-40B4-BE49-F238E27FC236}">
              <a16:creationId xmlns:a16="http://schemas.microsoft.com/office/drawing/2014/main" id="{803E9270-63B9-40B1-B621-579FAF8C84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38" name="Picture 1691" descr="spacer">
          <a:extLst>
            <a:ext uri="{FF2B5EF4-FFF2-40B4-BE49-F238E27FC236}">
              <a16:creationId xmlns:a16="http://schemas.microsoft.com/office/drawing/2014/main" id="{3AC852DC-21BC-44D2-A8F8-CA2EF4189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39" name="Picture 1692" descr="spacer">
          <a:extLst>
            <a:ext uri="{FF2B5EF4-FFF2-40B4-BE49-F238E27FC236}">
              <a16:creationId xmlns:a16="http://schemas.microsoft.com/office/drawing/2014/main" id="{81EB17D1-9A2E-41D4-9A69-24597A25C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40" name="Picture 1693" descr="spacer">
          <a:extLst>
            <a:ext uri="{FF2B5EF4-FFF2-40B4-BE49-F238E27FC236}">
              <a16:creationId xmlns:a16="http://schemas.microsoft.com/office/drawing/2014/main" id="{F7F28F4B-2C40-4BA3-9D3F-C46FE002F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41" name="Picture 1694" descr="spacer">
          <a:extLst>
            <a:ext uri="{FF2B5EF4-FFF2-40B4-BE49-F238E27FC236}">
              <a16:creationId xmlns:a16="http://schemas.microsoft.com/office/drawing/2014/main" id="{0E639EA7-F689-4F1A-8847-82DC79B6F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42" name="Picture 1695" descr="spacer">
          <a:extLst>
            <a:ext uri="{FF2B5EF4-FFF2-40B4-BE49-F238E27FC236}">
              <a16:creationId xmlns:a16="http://schemas.microsoft.com/office/drawing/2014/main" id="{87F68656-0B47-4861-8C6B-457E384B8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43" name="Picture 1696" descr="spacer">
          <a:extLst>
            <a:ext uri="{FF2B5EF4-FFF2-40B4-BE49-F238E27FC236}">
              <a16:creationId xmlns:a16="http://schemas.microsoft.com/office/drawing/2014/main" id="{5D859D6E-618F-41E2-9E50-9C5296FC4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744" name="Picture 1699" descr="spacer">
          <a:extLst>
            <a:ext uri="{FF2B5EF4-FFF2-40B4-BE49-F238E27FC236}">
              <a16:creationId xmlns:a16="http://schemas.microsoft.com/office/drawing/2014/main" id="{70ACBA29-6D03-474E-9087-55A3DFB6B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45" name="Picture 1701" descr="spacer">
          <a:extLst>
            <a:ext uri="{FF2B5EF4-FFF2-40B4-BE49-F238E27FC236}">
              <a16:creationId xmlns:a16="http://schemas.microsoft.com/office/drawing/2014/main" id="{EE0388F6-3753-4AD5-8341-C1BACA3F5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46" name="Picture 1702" descr="spacer">
          <a:extLst>
            <a:ext uri="{FF2B5EF4-FFF2-40B4-BE49-F238E27FC236}">
              <a16:creationId xmlns:a16="http://schemas.microsoft.com/office/drawing/2014/main" id="{AA360312-935A-4CFE-9FB5-7A42125E3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47" name="Picture 1703" descr="spacer">
          <a:extLst>
            <a:ext uri="{FF2B5EF4-FFF2-40B4-BE49-F238E27FC236}">
              <a16:creationId xmlns:a16="http://schemas.microsoft.com/office/drawing/2014/main" id="{A129A7FD-4BF3-4AF8-BEBA-CAB8ADB99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48" name="Picture 1704" descr="spacer">
          <a:extLst>
            <a:ext uri="{FF2B5EF4-FFF2-40B4-BE49-F238E27FC236}">
              <a16:creationId xmlns:a16="http://schemas.microsoft.com/office/drawing/2014/main" id="{A04F33C0-3D58-4136-8142-C3CBEF117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49" name="Picture 1705" descr="spacer">
          <a:extLst>
            <a:ext uri="{FF2B5EF4-FFF2-40B4-BE49-F238E27FC236}">
              <a16:creationId xmlns:a16="http://schemas.microsoft.com/office/drawing/2014/main" id="{A70D3F5C-B71E-4DA8-B501-5A850FFA94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50" name="Picture 1706" descr="spacer">
          <a:extLst>
            <a:ext uri="{FF2B5EF4-FFF2-40B4-BE49-F238E27FC236}">
              <a16:creationId xmlns:a16="http://schemas.microsoft.com/office/drawing/2014/main" id="{44B2C2B4-8D5C-4949-A56A-A7ED05A68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51" name="Picture 1707" descr="spacer">
          <a:extLst>
            <a:ext uri="{FF2B5EF4-FFF2-40B4-BE49-F238E27FC236}">
              <a16:creationId xmlns:a16="http://schemas.microsoft.com/office/drawing/2014/main" id="{CF099C86-21F4-4B26-86EF-BDF878C46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52" name="Picture 1708" descr="spacer">
          <a:extLst>
            <a:ext uri="{FF2B5EF4-FFF2-40B4-BE49-F238E27FC236}">
              <a16:creationId xmlns:a16="http://schemas.microsoft.com/office/drawing/2014/main" id="{AE3E8103-6A67-4584-8A5B-5C2C435B56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53" name="Picture 1709" descr="spacer">
          <a:extLst>
            <a:ext uri="{FF2B5EF4-FFF2-40B4-BE49-F238E27FC236}">
              <a16:creationId xmlns:a16="http://schemas.microsoft.com/office/drawing/2014/main" id="{AF6063AD-7C7A-41DC-9210-80A37593B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54" name="Picture 1710" descr="spacer">
          <a:extLst>
            <a:ext uri="{FF2B5EF4-FFF2-40B4-BE49-F238E27FC236}">
              <a16:creationId xmlns:a16="http://schemas.microsoft.com/office/drawing/2014/main" id="{00928F06-5EC9-4F19-A77E-200830C76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55" name="Picture 1711" descr="spacer">
          <a:extLst>
            <a:ext uri="{FF2B5EF4-FFF2-40B4-BE49-F238E27FC236}">
              <a16:creationId xmlns:a16="http://schemas.microsoft.com/office/drawing/2014/main" id="{2DD61E23-69D2-4078-AE4C-4CC5EEF77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56" name="Picture 1712" descr="spacer">
          <a:extLst>
            <a:ext uri="{FF2B5EF4-FFF2-40B4-BE49-F238E27FC236}">
              <a16:creationId xmlns:a16="http://schemas.microsoft.com/office/drawing/2014/main" id="{D066C121-0F2F-4732-B057-0884B95212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57" name="Picture 1713" descr="spacer">
          <a:extLst>
            <a:ext uri="{FF2B5EF4-FFF2-40B4-BE49-F238E27FC236}">
              <a16:creationId xmlns:a16="http://schemas.microsoft.com/office/drawing/2014/main" id="{530A4608-4997-4322-BC03-A0C1C9C22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58" name="Picture 1714" descr="spacer">
          <a:extLst>
            <a:ext uri="{FF2B5EF4-FFF2-40B4-BE49-F238E27FC236}">
              <a16:creationId xmlns:a16="http://schemas.microsoft.com/office/drawing/2014/main" id="{4B12F36A-D4F2-4365-99D4-F2D58B1A0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759" name="Picture 1717" descr="spacer">
          <a:extLst>
            <a:ext uri="{FF2B5EF4-FFF2-40B4-BE49-F238E27FC236}">
              <a16:creationId xmlns:a16="http://schemas.microsoft.com/office/drawing/2014/main" id="{A8F6B8BA-D1A3-4A7D-A7DD-D90844E2F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60" name="Picture 1719" descr="spacer">
          <a:extLst>
            <a:ext uri="{FF2B5EF4-FFF2-40B4-BE49-F238E27FC236}">
              <a16:creationId xmlns:a16="http://schemas.microsoft.com/office/drawing/2014/main" id="{74FFEA23-DD62-4035-B95A-104BDC3F55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61" name="Picture 1720" descr="spacer">
          <a:extLst>
            <a:ext uri="{FF2B5EF4-FFF2-40B4-BE49-F238E27FC236}">
              <a16:creationId xmlns:a16="http://schemas.microsoft.com/office/drawing/2014/main" id="{B3E1262C-0710-4314-898D-A070050394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62" name="Picture 1721" descr="spacer">
          <a:extLst>
            <a:ext uri="{FF2B5EF4-FFF2-40B4-BE49-F238E27FC236}">
              <a16:creationId xmlns:a16="http://schemas.microsoft.com/office/drawing/2014/main" id="{8DD95263-46FA-4203-B304-D5CA4199A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63" name="Picture 1722" descr="spacer">
          <a:extLst>
            <a:ext uri="{FF2B5EF4-FFF2-40B4-BE49-F238E27FC236}">
              <a16:creationId xmlns:a16="http://schemas.microsoft.com/office/drawing/2014/main" id="{35763944-B49F-4D2F-932C-2D3B5DE9C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64" name="Picture 1723" descr="spacer">
          <a:extLst>
            <a:ext uri="{FF2B5EF4-FFF2-40B4-BE49-F238E27FC236}">
              <a16:creationId xmlns:a16="http://schemas.microsoft.com/office/drawing/2014/main" id="{815E6667-4C67-452F-AB92-DA800C128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65" name="Picture 1724" descr="spacer">
          <a:extLst>
            <a:ext uri="{FF2B5EF4-FFF2-40B4-BE49-F238E27FC236}">
              <a16:creationId xmlns:a16="http://schemas.microsoft.com/office/drawing/2014/main" id="{3C85462F-E643-4511-8A57-41E72B0A5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66" name="Picture 1725" descr="spacer">
          <a:extLst>
            <a:ext uri="{FF2B5EF4-FFF2-40B4-BE49-F238E27FC236}">
              <a16:creationId xmlns:a16="http://schemas.microsoft.com/office/drawing/2014/main" id="{6F4412E9-2CD4-4A03-A408-CDB5B499F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67" name="Picture 1726" descr="spacer">
          <a:extLst>
            <a:ext uri="{FF2B5EF4-FFF2-40B4-BE49-F238E27FC236}">
              <a16:creationId xmlns:a16="http://schemas.microsoft.com/office/drawing/2014/main" id="{CD2F9680-381E-4572-B99A-DE7D3A844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68" name="Picture 1727" descr="spacer">
          <a:extLst>
            <a:ext uri="{FF2B5EF4-FFF2-40B4-BE49-F238E27FC236}">
              <a16:creationId xmlns:a16="http://schemas.microsoft.com/office/drawing/2014/main" id="{93D625B9-E9BB-4A2E-BCB9-FE8779774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69" name="Picture 1728" descr="spacer">
          <a:extLst>
            <a:ext uri="{FF2B5EF4-FFF2-40B4-BE49-F238E27FC236}">
              <a16:creationId xmlns:a16="http://schemas.microsoft.com/office/drawing/2014/main" id="{21E47CF6-D744-48F4-90C9-A1A5907BE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70" name="Picture 1729" descr="spacer">
          <a:extLst>
            <a:ext uri="{FF2B5EF4-FFF2-40B4-BE49-F238E27FC236}">
              <a16:creationId xmlns:a16="http://schemas.microsoft.com/office/drawing/2014/main" id="{8861DB42-7AB6-4864-9425-F32CAFFBE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71" name="Picture 1730" descr="spacer">
          <a:extLst>
            <a:ext uri="{FF2B5EF4-FFF2-40B4-BE49-F238E27FC236}">
              <a16:creationId xmlns:a16="http://schemas.microsoft.com/office/drawing/2014/main" id="{4D201F6E-C5E4-4663-BFAA-4513622BC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72" name="Picture 1731" descr="spacer">
          <a:extLst>
            <a:ext uri="{FF2B5EF4-FFF2-40B4-BE49-F238E27FC236}">
              <a16:creationId xmlns:a16="http://schemas.microsoft.com/office/drawing/2014/main" id="{2FAEC01A-C90A-4BB5-B6C2-615DFC821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73" name="Picture 1732" descr="spacer">
          <a:extLst>
            <a:ext uri="{FF2B5EF4-FFF2-40B4-BE49-F238E27FC236}">
              <a16:creationId xmlns:a16="http://schemas.microsoft.com/office/drawing/2014/main" id="{C8E1D860-8DB1-4290-8C1B-93C6A9FC6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774" name="Picture 1735" descr="spacer">
          <a:extLst>
            <a:ext uri="{FF2B5EF4-FFF2-40B4-BE49-F238E27FC236}">
              <a16:creationId xmlns:a16="http://schemas.microsoft.com/office/drawing/2014/main" id="{2C856B56-2674-4958-AAE7-A41AFDD6B2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75" name="Picture 1737" descr="spacer">
          <a:extLst>
            <a:ext uri="{FF2B5EF4-FFF2-40B4-BE49-F238E27FC236}">
              <a16:creationId xmlns:a16="http://schemas.microsoft.com/office/drawing/2014/main" id="{A329D7E1-96D0-45D1-90CA-A2640AF58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76" name="Picture 1738" descr="spacer">
          <a:extLst>
            <a:ext uri="{FF2B5EF4-FFF2-40B4-BE49-F238E27FC236}">
              <a16:creationId xmlns:a16="http://schemas.microsoft.com/office/drawing/2014/main" id="{FB2F9109-27EF-403C-B562-925F6AC7F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77" name="Picture 1739" descr="spacer">
          <a:extLst>
            <a:ext uri="{FF2B5EF4-FFF2-40B4-BE49-F238E27FC236}">
              <a16:creationId xmlns:a16="http://schemas.microsoft.com/office/drawing/2014/main" id="{BAA84213-DFB4-488D-9E80-15E9C888D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78" name="Picture 1740" descr="spacer">
          <a:extLst>
            <a:ext uri="{FF2B5EF4-FFF2-40B4-BE49-F238E27FC236}">
              <a16:creationId xmlns:a16="http://schemas.microsoft.com/office/drawing/2014/main" id="{1562D332-DA62-4C4B-B960-7A39ECB2B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79" name="Picture 1741" descr="spacer">
          <a:extLst>
            <a:ext uri="{FF2B5EF4-FFF2-40B4-BE49-F238E27FC236}">
              <a16:creationId xmlns:a16="http://schemas.microsoft.com/office/drawing/2014/main" id="{4D9BDB5C-8D67-4E4D-A33A-0662D3EB69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80" name="Picture 1742" descr="spacer">
          <a:extLst>
            <a:ext uri="{FF2B5EF4-FFF2-40B4-BE49-F238E27FC236}">
              <a16:creationId xmlns:a16="http://schemas.microsoft.com/office/drawing/2014/main" id="{B2B55A5B-24AF-4A64-B61C-907BF5B3B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81" name="Picture 1743" descr="spacer">
          <a:extLst>
            <a:ext uri="{FF2B5EF4-FFF2-40B4-BE49-F238E27FC236}">
              <a16:creationId xmlns:a16="http://schemas.microsoft.com/office/drawing/2014/main" id="{E3C500D0-2148-4071-8869-26385C217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82" name="Picture 1744" descr="spacer">
          <a:extLst>
            <a:ext uri="{FF2B5EF4-FFF2-40B4-BE49-F238E27FC236}">
              <a16:creationId xmlns:a16="http://schemas.microsoft.com/office/drawing/2014/main" id="{ADC062DE-2B82-4978-9702-35D820A39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83" name="Picture 1745" descr="spacer">
          <a:extLst>
            <a:ext uri="{FF2B5EF4-FFF2-40B4-BE49-F238E27FC236}">
              <a16:creationId xmlns:a16="http://schemas.microsoft.com/office/drawing/2014/main" id="{6DEA4DF9-E520-4E3B-A6EC-863ACC129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84" name="Picture 1746" descr="spacer">
          <a:extLst>
            <a:ext uri="{FF2B5EF4-FFF2-40B4-BE49-F238E27FC236}">
              <a16:creationId xmlns:a16="http://schemas.microsoft.com/office/drawing/2014/main" id="{F0A4D226-5FCC-430A-B5D2-AC7ECAAB1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85" name="Picture 1747" descr="spacer">
          <a:extLst>
            <a:ext uri="{FF2B5EF4-FFF2-40B4-BE49-F238E27FC236}">
              <a16:creationId xmlns:a16="http://schemas.microsoft.com/office/drawing/2014/main" id="{ACC45C89-EFD0-4748-9B66-C98468FA8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86" name="Picture 1748" descr="spacer">
          <a:extLst>
            <a:ext uri="{FF2B5EF4-FFF2-40B4-BE49-F238E27FC236}">
              <a16:creationId xmlns:a16="http://schemas.microsoft.com/office/drawing/2014/main" id="{2BB87276-6CA2-4147-B880-0C8101D12D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87" name="Picture 1749" descr="spacer">
          <a:extLst>
            <a:ext uri="{FF2B5EF4-FFF2-40B4-BE49-F238E27FC236}">
              <a16:creationId xmlns:a16="http://schemas.microsoft.com/office/drawing/2014/main" id="{5D2B2D9C-4C6A-4C1F-A70D-341A1F5A53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88" name="Picture 1750" descr="spacer">
          <a:extLst>
            <a:ext uri="{FF2B5EF4-FFF2-40B4-BE49-F238E27FC236}">
              <a16:creationId xmlns:a16="http://schemas.microsoft.com/office/drawing/2014/main" id="{7BC5CC5D-3F16-4F6D-96EF-B7131C5F0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789" name="Picture 1753" descr="spacer">
          <a:extLst>
            <a:ext uri="{FF2B5EF4-FFF2-40B4-BE49-F238E27FC236}">
              <a16:creationId xmlns:a16="http://schemas.microsoft.com/office/drawing/2014/main" id="{AB27750F-DA6A-4544-9CB5-A8020F849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90" name="Picture 1755" descr="spacer">
          <a:extLst>
            <a:ext uri="{FF2B5EF4-FFF2-40B4-BE49-F238E27FC236}">
              <a16:creationId xmlns:a16="http://schemas.microsoft.com/office/drawing/2014/main" id="{942D8FD3-806D-46E0-B4CD-F89FB2CD9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91" name="Picture 1756" descr="spacer">
          <a:extLst>
            <a:ext uri="{FF2B5EF4-FFF2-40B4-BE49-F238E27FC236}">
              <a16:creationId xmlns:a16="http://schemas.microsoft.com/office/drawing/2014/main" id="{BBCE1A03-B379-4486-8C95-62A6A2C2E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92" name="Picture 1757" descr="spacer">
          <a:extLst>
            <a:ext uri="{FF2B5EF4-FFF2-40B4-BE49-F238E27FC236}">
              <a16:creationId xmlns:a16="http://schemas.microsoft.com/office/drawing/2014/main" id="{85221ED9-8B5B-48FF-8C60-067C28B67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93" name="Picture 1758" descr="spacer">
          <a:extLst>
            <a:ext uri="{FF2B5EF4-FFF2-40B4-BE49-F238E27FC236}">
              <a16:creationId xmlns:a16="http://schemas.microsoft.com/office/drawing/2014/main" id="{BDAF419D-8B3A-4F97-BF7F-439268605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94" name="Picture 1759" descr="spacer">
          <a:extLst>
            <a:ext uri="{FF2B5EF4-FFF2-40B4-BE49-F238E27FC236}">
              <a16:creationId xmlns:a16="http://schemas.microsoft.com/office/drawing/2014/main" id="{01CD0542-7F45-423B-B162-C438C83EA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95" name="Picture 1760" descr="spacer">
          <a:extLst>
            <a:ext uri="{FF2B5EF4-FFF2-40B4-BE49-F238E27FC236}">
              <a16:creationId xmlns:a16="http://schemas.microsoft.com/office/drawing/2014/main" id="{DCE4402A-E556-452B-A5E7-964E471B6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96" name="Picture 1761" descr="spacer">
          <a:extLst>
            <a:ext uri="{FF2B5EF4-FFF2-40B4-BE49-F238E27FC236}">
              <a16:creationId xmlns:a16="http://schemas.microsoft.com/office/drawing/2014/main" id="{5F097AEA-2EBE-4200-A993-8FD3F9A0B6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97" name="Picture 1762" descr="spacer">
          <a:extLst>
            <a:ext uri="{FF2B5EF4-FFF2-40B4-BE49-F238E27FC236}">
              <a16:creationId xmlns:a16="http://schemas.microsoft.com/office/drawing/2014/main" id="{21CB3150-5D12-488F-A2FC-F76048181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98" name="Picture 1763" descr="spacer">
          <a:extLst>
            <a:ext uri="{FF2B5EF4-FFF2-40B4-BE49-F238E27FC236}">
              <a16:creationId xmlns:a16="http://schemas.microsoft.com/office/drawing/2014/main" id="{7E56DB75-8686-421F-BB62-FF67DB230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799" name="Picture 1764" descr="spacer">
          <a:extLst>
            <a:ext uri="{FF2B5EF4-FFF2-40B4-BE49-F238E27FC236}">
              <a16:creationId xmlns:a16="http://schemas.microsoft.com/office/drawing/2014/main" id="{3ACED31D-C6FB-4EA3-81C9-D63ED1A77E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00" name="Picture 1765" descr="spacer">
          <a:extLst>
            <a:ext uri="{FF2B5EF4-FFF2-40B4-BE49-F238E27FC236}">
              <a16:creationId xmlns:a16="http://schemas.microsoft.com/office/drawing/2014/main" id="{AA7B79EA-A44C-4FA4-BB1D-4268D44FB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01" name="Picture 1766" descr="spacer">
          <a:extLst>
            <a:ext uri="{FF2B5EF4-FFF2-40B4-BE49-F238E27FC236}">
              <a16:creationId xmlns:a16="http://schemas.microsoft.com/office/drawing/2014/main" id="{6873545D-542F-4CA9-9450-EEC4D3CE3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02" name="Picture 1767" descr="spacer">
          <a:extLst>
            <a:ext uri="{FF2B5EF4-FFF2-40B4-BE49-F238E27FC236}">
              <a16:creationId xmlns:a16="http://schemas.microsoft.com/office/drawing/2014/main" id="{609DBE2B-1A3E-4013-A752-74598129B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03" name="Picture 1768" descr="spacer">
          <a:extLst>
            <a:ext uri="{FF2B5EF4-FFF2-40B4-BE49-F238E27FC236}">
              <a16:creationId xmlns:a16="http://schemas.microsoft.com/office/drawing/2014/main" id="{76D47805-6F54-4D5B-AAE0-3F5F25FA4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804" name="Picture 1771" descr="spacer">
          <a:extLst>
            <a:ext uri="{FF2B5EF4-FFF2-40B4-BE49-F238E27FC236}">
              <a16:creationId xmlns:a16="http://schemas.microsoft.com/office/drawing/2014/main" id="{45B24D2E-5659-4B55-BCBD-34764AE19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05" name="Picture 1773" descr="spacer">
          <a:extLst>
            <a:ext uri="{FF2B5EF4-FFF2-40B4-BE49-F238E27FC236}">
              <a16:creationId xmlns:a16="http://schemas.microsoft.com/office/drawing/2014/main" id="{8CEE89BD-8211-4BF0-8DCE-9C9EE79185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06" name="Picture 1774" descr="spacer">
          <a:extLst>
            <a:ext uri="{FF2B5EF4-FFF2-40B4-BE49-F238E27FC236}">
              <a16:creationId xmlns:a16="http://schemas.microsoft.com/office/drawing/2014/main" id="{1922B487-CEE0-43B6-AC41-1DE98F3E2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07" name="Picture 1775" descr="spacer">
          <a:extLst>
            <a:ext uri="{FF2B5EF4-FFF2-40B4-BE49-F238E27FC236}">
              <a16:creationId xmlns:a16="http://schemas.microsoft.com/office/drawing/2014/main" id="{C863F42F-E947-4CEF-B4BC-5C07443BE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08" name="Picture 1776" descr="spacer">
          <a:extLst>
            <a:ext uri="{FF2B5EF4-FFF2-40B4-BE49-F238E27FC236}">
              <a16:creationId xmlns:a16="http://schemas.microsoft.com/office/drawing/2014/main" id="{8325160A-710F-4162-A6F9-C4B49AF22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09" name="Picture 1777" descr="spacer">
          <a:extLst>
            <a:ext uri="{FF2B5EF4-FFF2-40B4-BE49-F238E27FC236}">
              <a16:creationId xmlns:a16="http://schemas.microsoft.com/office/drawing/2014/main" id="{A88FA0DF-3643-459A-A8C2-24F48C95B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10" name="Picture 1778" descr="spacer">
          <a:extLst>
            <a:ext uri="{FF2B5EF4-FFF2-40B4-BE49-F238E27FC236}">
              <a16:creationId xmlns:a16="http://schemas.microsoft.com/office/drawing/2014/main" id="{8A6D372D-A7FA-4039-B477-35282F5A3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11" name="Picture 1779" descr="spacer">
          <a:extLst>
            <a:ext uri="{FF2B5EF4-FFF2-40B4-BE49-F238E27FC236}">
              <a16:creationId xmlns:a16="http://schemas.microsoft.com/office/drawing/2014/main" id="{D923EC1D-7A21-46B4-A1BF-CB7655E37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12" name="Picture 1780" descr="spacer">
          <a:extLst>
            <a:ext uri="{FF2B5EF4-FFF2-40B4-BE49-F238E27FC236}">
              <a16:creationId xmlns:a16="http://schemas.microsoft.com/office/drawing/2014/main" id="{7A43B037-03E4-4A0A-B967-12D16CF49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13" name="Picture 1781" descr="spacer">
          <a:extLst>
            <a:ext uri="{FF2B5EF4-FFF2-40B4-BE49-F238E27FC236}">
              <a16:creationId xmlns:a16="http://schemas.microsoft.com/office/drawing/2014/main" id="{45ADA6C2-DB68-421B-8D77-BFD677219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14" name="Picture 1782" descr="spacer">
          <a:extLst>
            <a:ext uri="{FF2B5EF4-FFF2-40B4-BE49-F238E27FC236}">
              <a16:creationId xmlns:a16="http://schemas.microsoft.com/office/drawing/2014/main" id="{CA446FB5-BD71-46AA-A0B1-AB0470772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15" name="Picture 1783" descr="spacer">
          <a:extLst>
            <a:ext uri="{FF2B5EF4-FFF2-40B4-BE49-F238E27FC236}">
              <a16:creationId xmlns:a16="http://schemas.microsoft.com/office/drawing/2014/main" id="{B5AB6DF3-E8B3-4446-B978-21BCBBCC5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16" name="Picture 1784" descr="spacer">
          <a:extLst>
            <a:ext uri="{FF2B5EF4-FFF2-40B4-BE49-F238E27FC236}">
              <a16:creationId xmlns:a16="http://schemas.microsoft.com/office/drawing/2014/main" id="{8EF33F16-EE6B-4A81-B5D6-0ABE58193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17" name="Picture 1785" descr="spacer">
          <a:extLst>
            <a:ext uri="{FF2B5EF4-FFF2-40B4-BE49-F238E27FC236}">
              <a16:creationId xmlns:a16="http://schemas.microsoft.com/office/drawing/2014/main" id="{6E558641-C186-4828-B83E-9CE2F220A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818" name="Picture 1788" descr="spacer">
          <a:extLst>
            <a:ext uri="{FF2B5EF4-FFF2-40B4-BE49-F238E27FC236}">
              <a16:creationId xmlns:a16="http://schemas.microsoft.com/office/drawing/2014/main" id="{9FE204A0-7EBF-4B43-A0DC-C3CFD18E3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19" name="Picture 1790" descr="spacer">
          <a:extLst>
            <a:ext uri="{FF2B5EF4-FFF2-40B4-BE49-F238E27FC236}">
              <a16:creationId xmlns:a16="http://schemas.microsoft.com/office/drawing/2014/main" id="{8C6D1572-F55B-4B56-A8E6-67A78D2C0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20" name="Picture 1791" descr="spacer">
          <a:extLst>
            <a:ext uri="{FF2B5EF4-FFF2-40B4-BE49-F238E27FC236}">
              <a16:creationId xmlns:a16="http://schemas.microsoft.com/office/drawing/2014/main" id="{67043235-FCB4-4054-A69B-CAA68950D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21" name="Picture 1792" descr="spacer">
          <a:extLst>
            <a:ext uri="{FF2B5EF4-FFF2-40B4-BE49-F238E27FC236}">
              <a16:creationId xmlns:a16="http://schemas.microsoft.com/office/drawing/2014/main" id="{2317610C-C14F-41AD-806F-A97FC6855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22" name="Picture 1793" descr="spacer">
          <a:extLst>
            <a:ext uri="{FF2B5EF4-FFF2-40B4-BE49-F238E27FC236}">
              <a16:creationId xmlns:a16="http://schemas.microsoft.com/office/drawing/2014/main" id="{7D10A7C5-5944-4135-95E9-DDF68F97B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23" name="Picture 1794" descr="spacer">
          <a:extLst>
            <a:ext uri="{FF2B5EF4-FFF2-40B4-BE49-F238E27FC236}">
              <a16:creationId xmlns:a16="http://schemas.microsoft.com/office/drawing/2014/main" id="{15740AB1-6E08-4430-8CF8-C3BF1B52C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24" name="Picture 1795" descr="spacer">
          <a:extLst>
            <a:ext uri="{FF2B5EF4-FFF2-40B4-BE49-F238E27FC236}">
              <a16:creationId xmlns:a16="http://schemas.microsoft.com/office/drawing/2014/main" id="{B18B3508-AA30-401D-A506-6625A55CB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25" name="Picture 1796" descr="spacer">
          <a:extLst>
            <a:ext uri="{FF2B5EF4-FFF2-40B4-BE49-F238E27FC236}">
              <a16:creationId xmlns:a16="http://schemas.microsoft.com/office/drawing/2014/main" id="{C03D8A31-9C90-4AFA-87F5-867B8F690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26" name="Picture 1797" descr="spacer">
          <a:extLst>
            <a:ext uri="{FF2B5EF4-FFF2-40B4-BE49-F238E27FC236}">
              <a16:creationId xmlns:a16="http://schemas.microsoft.com/office/drawing/2014/main" id="{253EA01E-F05F-4386-BAC5-8AE68E7B3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27" name="Picture 1798" descr="spacer">
          <a:extLst>
            <a:ext uri="{FF2B5EF4-FFF2-40B4-BE49-F238E27FC236}">
              <a16:creationId xmlns:a16="http://schemas.microsoft.com/office/drawing/2014/main" id="{E3740E28-58D8-40D2-A22D-7588A66AC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28" name="Picture 1799" descr="spacer">
          <a:extLst>
            <a:ext uri="{FF2B5EF4-FFF2-40B4-BE49-F238E27FC236}">
              <a16:creationId xmlns:a16="http://schemas.microsoft.com/office/drawing/2014/main" id="{15CD5CE8-0578-43F1-AC25-081E1F331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29" name="Picture 1800" descr="spacer">
          <a:extLst>
            <a:ext uri="{FF2B5EF4-FFF2-40B4-BE49-F238E27FC236}">
              <a16:creationId xmlns:a16="http://schemas.microsoft.com/office/drawing/2014/main" id="{2D2568C7-0A1E-47BF-AA0E-03E59900E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30" name="Picture 1801" descr="spacer">
          <a:extLst>
            <a:ext uri="{FF2B5EF4-FFF2-40B4-BE49-F238E27FC236}">
              <a16:creationId xmlns:a16="http://schemas.microsoft.com/office/drawing/2014/main" id="{65C8DABF-E390-4B5A-9031-D3D106F83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31" name="Picture 1802" descr="spacer">
          <a:extLst>
            <a:ext uri="{FF2B5EF4-FFF2-40B4-BE49-F238E27FC236}">
              <a16:creationId xmlns:a16="http://schemas.microsoft.com/office/drawing/2014/main" id="{FB6ECE29-95B0-4CAB-8736-DCC8FA0C3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32" name="Picture 1803" descr="spacer">
          <a:extLst>
            <a:ext uri="{FF2B5EF4-FFF2-40B4-BE49-F238E27FC236}">
              <a16:creationId xmlns:a16="http://schemas.microsoft.com/office/drawing/2014/main" id="{CC08ECDA-375F-4F4E-B7F9-7AF7714C5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833" name="Picture 1806" descr="spacer">
          <a:extLst>
            <a:ext uri="{FF2B5EF4-FFF2-40B4-BE49-F238E27FC236}">
              <a16:creationId xmlns:a16="http://schemas.microsoft.com/office/drawing/2014/main" id="{9FA2B417-650E-4EF8-AB10-460C25754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34" name="Picture 1808" descr="spacer">
          <a:extLst>
            <a:ext uri="{FF2B5EF4-FFF2-40B4-BE49-F238E27FC236}">
              <a16:creationId xmlns:a16="http://schemas.microsoft.com/office/drawing/2014/main" id="{28C53E56-CFC3-4347-8079-D4E6049A9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35" name="Picture 1809" descr="spacer">
          <a:extLst>
            <a:ext uri="{FF2B5EF4-FFF2-40B4-BE49-F238E27FC236}">
              <a16:creationId xmlns:a16="http://schemas.microsoft.com/office/drawing/2014/main" id="{E0B3687B-5690-4935-867D-8A9F24874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36" name="Picture 1810" descr="spacer">
          <a:extLst>
            <a:ext uri="{FF2B5EF4-FFF2-40B4-BE49-F238E27FC236}">
              <a16:creationId xmlns:a16="http://schemas.microsoft.com/office/drawing/2014/main" id="{6C131E02-BB25-406C-8129-6867D5BC9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37" name="Picture 1811" descr="spacer">
          <a:extLst>
            <a:ext uri="{FF2B5EF4-FFF2-40B4-BE49-F238E27FC236}">
              <a16:creationId xmlns:a16="http://schemas.microsoft.com/office/drawing/2014/main" id="{2CD2F260-5BAA-4AFF-879B-9D90C06EF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38" name="Picture 1812" descr="spacer">
          <a:extLst>
            <a:ext uri="{FF2B5EF4-FFF2-40B4-BE49-F238E27FC236}">
              <a16:creationId xmlns:a16="http://schemas.microsoft.com/office/drawing/2014/main" id="{31F0D57F-346C-4D12-AF32-A2CCA32C0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39" name="Picture 1813" descr="spacer">
          <a:extLst>
            <a:ext uri="{FF2B5EF4-FFF2-40B4-BE49-F238E27FC236}">
              <a16:creationId xmlns:a16="http://schemas.microsoft.com/office/drawing/2014/main" id="{ACDDEE40-46FB-4E7C-827F-12AF56E10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40" name="Picture 1814" descr="spacer">
          <a:extLst>
            <a:ext uri="{FF2B5EF4-FFF2-40B4-BE49-F238E27FC236}">
              <a16:creationId xmlns:a16="http://schemas.microsoft.com/office/drawing/2014/main" id="{8483DF03-9A22-49B8-9AC8-0B0B49362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41" name="Picture 1815" descr="spacer">
          <a:extLst>
            <a:ext uri="{FF2B5EF4-FFF2-40B4-BE49-F238E27FC236}">
              <a16:creationId xmlns:a16="http://schemas.microsoft.com/office/drawing/2014/main" id="{0D2A97C6-B049-4740-B116-6DF9652C7C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42" name="Picture 1816" descr="spacer">
          <a:extLst>
            <a:ext uri="{FF2B5EF4-FFF2-40B4-BE49-F238E27FC236}">
              <a16:creationId xmlns:a16="http://schemas.microsoft.com/office/drawing/2014/main" id="{C2A0B21C-D7E6-4B0C-95FF-4662DF9BB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43" name="Picture 1817" descr="spacer">
          <a:extLst>
            <a:ext uri="{FF2B5EF4-FFF2-40B4-BE49-F238E27FC236}">
              <a16:creationId xmlns:a16="http://schemas.microsoft.com/office/drawing/2014/main" id="{267DE642-FC1C-48B8-A931-1366426E3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44" name="Picture 1818" descr="spacer">
          <a:extLst>
            <a:ext uri="{FF2B5EF4-FFF2-40B4-BE49-F238E27FC236}">
              <a16:creationId xmlns:a16="http://schemas.microsoft.com/office/drawing/2014/main" id="{8CD0CF9E-649A-4870-889B-4E1655CDC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45" name="Picture 1819" descr="spacer">
          <a:extLst>
            <a:ext uri="{FF2B5EF4-FFF2-40B4-BE49-F238E27FC236}">
              <a16:creationId xmlns:a16="http://schemas.microsoft.com/office/drawing/2014/main" id="{066CFC15-4791-42AE-8A44-186E1A2FD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46" name="Picture 1820" descr="spacer">
          <a:extLst>
            <a:ext uri="{FF2B5EF4-FFF2-40B4-BE49-F238E27FC236}">
              <a16:creationId xmlns:a16="http://schemas.microsoft.com/office/drawing/2014/main" id="{B3966CBC-DFDE-4388-9D3D-A21DC61B9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47" name="Picture 1821" descr="spacer">
          <a:extLst>
            <a:ext uri="{FF2B5EF4-FFF2-40B4-BE49-F238E27FC236}">
              <a16:creationId xmlns:a16="http://schemas.microsoft.com/office/drawing/2014/main" id="{6267848F-A22C-4E87-999F-660F79783F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848" name="Picture 1824" descr="spacer">
          <a:extLst>
            <a:ext uri="{FF2B5EF4-FFF2-40B4-BE49-F238E27FC236}">
              <a16:creationId xmlns:a16="http://schemas.microsoft.com/office/drawing/2014/main" id="{67319AF2-4B10-4EEA-8A4B-75895E07D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49" name="Picture 1826" descr="spacer">
          <a:extLst>
            <a:ext uri="{FF2B5EF4-FFF2-40B4-BE49-F238E27FC236}">
              <a16:creationId xmlns:a16="http://schemas.microsoft.com/office/drawing/2014/main" id="{9FE7297E-BD4D-4B6C-974A-9EDF0664E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50" name="Picture 1827" descr="spacer">
          <a:extLst>
            <a:ext uri="{FF2B5EF4-FFF2-40B4-BE49-F238E27FC236}">
              <a16:creationId xmlns:a16="http://schemas.microsoft.com/office/drawing/2014/main" id="{F2721EDC-4C49-455A-96F8-1001A3D2A2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51" name="Picture 1828" descr="spacer">
          <a:extLst>
            <a:ext uri="{FF2B5EF4-FFF2-40B4-BE49-F238E27FC236}">
              <a16:creationId xmlns:a16="http://schemas.microsoft.com/office/drawing/2014/main" id="{59978C76-6E25-4F42-866D-E2CECB184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52" name="Picture 1829" descr="spacer">
          <a:extLst>
            <a:ext uri="{FF2B5EF4-FFF2-40B4-BE49-F238E27FC236}">
              <a16:creationId xmlns:a16="http://schemas.microsoft.com/office/drawing/2014/main" id="{BEC06FE8-C60A-45A2-ABDD-574441B1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53" name="Picture 1830" descr="spacer">
          <a:extLst>
            <a:ext uri="{FF2B5EF4-FFF2-40B4-BE49-F238E27FC236}">
              <a16:creationId xmlns:a16="http://schemas.microsoft.com/office/drawing/2014/main" id="{2C77B04A-9348-4EE6-910E-906D4CF79B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54" name="Picture 1831" descr="spacer">
          <a:extLst>
            <a:ext uri="{FF2B5EF4-FFF2-40B4-BE49-F238E27FC236}">
              <a16:creationId xmlns:a16="http://schemas.microsoft.com/office/drawing/2014/main" id="{F4469F1F-ADDA-4080-8269-3D95A22E5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55" name="Picture 1832" descr="spacer">
          <a:extLst>
            <a:ext uri="{FF2B5EF4-FFF2-40B4-BE49-F238E27FC236}">
              <a16:creationId xmlns:a16="http://schemas.microsoft.com/office/drawing/2014/main" id="{0F678393-20F1-4D4A-AE0B-1EF36B13E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56" name="Picture 1833" descr="spacer">
          <a:extLst>
            <a:ext uri="{FF2B5EF4-FFF2-40B4-BE49-F238E27FC236}">
              <a16:creationId xmlns:a16="http://schemas.microsoft.com/office/drawing/2014/main" id="{FE3D78A3-858E-4ACC-8E20-7F22CB5EE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57" name="Picture 1834" descr="spacer">
          <a:extLst>
            <a:ext uri="{FF2B5EF4-FFF2-40B4-BE49-F238E27FC236}">
              <a16:creationId xmlns:a16="http://schemas.microsoft.com/office/drawing/2014/main" id="{C8ED2E47-D6F5-4131-976B-8173E7FDAC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58" name="Picture 1835" descr="spacer">
          <a:extLst>
            <a:ext uri="{FF2B5EF4-FFF2-40B4-BE49-F238E27FC236}">
              <a16:creationId xmlns:a16="http://schemas.microsoft.com/office/drawing/2014/main" id="{30766B8F-2AC5-4003-AF4C-45240D53A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59" name="Picture 1836" descr="spacer">
          <a:extLst>
            <a:ext uri="{FF2B5EF4-FFF2-40B4-BE49-F238E27FC236}">
              <a16:creationId xmlns:a16="http://schemas.microsoft.com/office/drawing/2014/main" id="{2487359C-9B65-4507-A80C-57C47B7BD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60" name="Picture 1837" descr="spacer">
          <a:extLst>
            <a:ext uri="{FF2B5EF4-FFF2-40B4-BE49-F238E27FC236}">
              <a16:creationId xmlns:a16="http://schemas.microsoft.com/office/drawing/2014/main" id="{7AE2B2DB-04AA-4EB3-88C0-EEEBC4449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861" name="Picture 1840" descr="spacer">
          <a:extLst>
            <a:ext uri="{FF2B5EF4-FFF2-40B4-BE49-F238E27FC236}">
              <a16:creationId xmlns:a16="http://schemas.microsoft.com/office/drawing/2014/main" id="{022D82E6-EBD5-4ECA-96CD-DCE1EC5A8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62" name="Picture 1842" descr="spacer">
          <a:extLst>
            <a:ext uri="{FF2B5EF4-FFF2-40B4-BE49-F238E27FC236}">
              <a16:creationId xmlns:a16="http://schemas.microsoft.com/office/drawing/2014/main" id="{D8FB237D-42DE-4E8C-90E4-66C1B561B4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63" name="Picture 1843" descr="spacer">
          <a:extLst>
            <a:ext uri="{FF2B5EF4-FFF2-40B4-BE49-F238E27FC236}">
              <a16:creationId xmlns:a16="http://schemas.microsoft.com/office/drawing/2014/main" id="{0507658D-9099-40C6-8B72-461980992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64" name="Picture 1844" descr="spacer">
          <a:extLst>
            <a:ext uri="{FF2B5EF4-FFF2-40B4-BE49-F238E27FC236}">
              <a16:creationId xmlns:a16="http://schemas.microsoft.com/office/drawing/2014/main" id="{42F8E5C1-9CC3-4C07-8CDD-E265F1127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65" name="Picture 1845" descr="spacer">
          <a:extLst>
            <a:ext uri="{FF2B5EF4-FFF2-40B4-BE49-F238E27FC236}">
              <a16:creationId xmlns:a16="http://schemas.microsoft.com/office/drawing/2014/main" id="{B7EF605D-2AAF-4EA6-BC81-20A72731F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66" name="Picture 1846" descr="spacer">
          <a:extLst>
            <a:ext uri="{FF2B5EF4-FFF2-40B4-BE49-F238E27FC236}">
              <a16:creationId xmlns:a16="http://schemas.microsoft.com/office/drawing/2014/main" id="{1F33F895-E7FA-4596-B984-07095416E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67" name="Picture 1847" descr="spacer">
          <a:extLst>
            <a:ext uri="{FF2B5EF4-FFF2-40B4-BE49-F238E27FC236}">
              <a16:creationId xmlns:a16="http://schemas.microsoft.com/office/drawing/2014/main" id="{358A081D-4A55-4C64-96FC-D4AEC958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68" name="Picture 1848" descr="spacer">
          <a:extLst>
            <a:ext uri="{FF2B5EF4-FFF2-40B4-BE49-F238E27FC236}">
              <a16:creationId xmlns:a16="http://schemas.microsoft.com/office/drawing/2014/main" id="{EDA25064-9DC0-47C6-8217-E1BE28BB3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69" name="Picture 1849" descr="spacer">
          <a:extLst>
            <a:ext uri="{FF2B5EF4-FFF2-40B4-BE49-F238E27FC236}">
              <a16:creationId xmlns:a16="http://schemas.microsoft.com/office/drawing/2014/main" id="{A667D120-A4B3-407F-B7F1-DB2E89C05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70" name="Picture 1850" descr="spacer">
          <a:extLst>
            <a:ext uri="{FF2B5EF4-FFF2-40B4-BE49-F238E27FC236}">
              <a16:creationId xmlns:a16="http://schemas.microsoft.com/office/drawing/2014/main" id="{1D3EA510-2E7D-483A-9EC2-56005058C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71" name="Picture 1851" descr="spacer">
          <a:extLst>
            <a:ext uri="{FF2B5EF4-FFF2-40B4-BE49-F238E27FC236}">
              <a16:creationId xmlns:a16="http://schemas.microsoft.com/office/drawing/2014/main" id="{BCF1B360-7E5C-411E-9F76-C122E1C91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72" name="Picture 1852" descr="spacer">
          <a:extLst>
            <a:ext uri="{FF2B5EF4-FFF2-40B4-BE49-F238E27FC236}">
              <a16:creationId xmlns:a16="http://schemas.microsoft.com/office/drawing/2014/main" id="{DDD1A702-5F90-45DD-83EE-4E4787FBA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73" name="Picture 1853" descr="spacer">
          <a:extLst>
            <a:ext uri="{FF2B5EF4-FFF2-40B4-BE49-F238E27FC236}">
              <a16:creationId xmlns:a16="http://schemas.microsoft.com/office/drawing/2014/main" id="{E59F8153-4DF2-47A3-AF29-D17C6F5C0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74" name="Picture 1854" descr="spacer">
          <a:extLst>
            <a:ext uri="{FF2B5EF4-FFF2-40B4-BE49-F238E27FC236}">
              <a16:creationId xmlns:a16="http://schemas.microsoft.com/office/drawing/2014/main" id="{A26B71F3-794C-4300-8A20-FB7BEE282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75" name="Picture 1855" descr="spacer">
          <a:extLst>
            <a:ext uri="{FF2B5EF4-FFF2-40B4-BE49-F238E27FC236}">
              <a16:creationId xmlns:a16="http://schemas.microsoft.com/office/drawing/2014/main" id="{9A0D8550-3DFB-4539-8E91-2361B9A1D2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876" name="Picture 1858" descr="spacer">
          <a:extLst>
            <a:ext uri="{FF2B5EF4-FFF2-40B4-BE49-F238E27FC236}">
              <a16:creationId xmlns:a16="http://schemas.microsoft.com/office/drawing/2014/main" id="{7972F545-56CD-48D1-8733-D3AE4DDB1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77" name="Picture 1860" descr="spacer">
          <a:extLst>
            <a:ext uri="{FF2B5EF4-FFF2-40B4-BE49-F238E27FC236}">
              <a16:creationId xmlns:a16="http://schemas.microsoft.com/office/drawing/2014/main" id="{5ECD6228-58EF-4C12-90C4-EC4B44DBB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78" name="Picture 1861" descr="spacer">
          <a:extLst>
            <a:ext uri="{FF2B5EF4-FFF2-40B4-BE49-F238E27FC236}">
              <a16:creationId xmlns:a16="http://schemas.microsoft.com/office/drawing/2014/main" id="{FE7B159B-B40A-4284-9400-38878F1B1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79" name="Picture 1862" descr="spacer">
          <a:extLst>
            <a:ext uri="{FF2B5EF4-FFF2-40B4-BE49-F238E27FC236}">
              <a16:creationId xmlns:a16="http://schemas.microsoft.com/office/drawing/2014/main" id="{3D59479F-C08E-4204-9C58-5950B3395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80" name="Picture 1863" descr="spacer">
          <a:extLst>
            <a:ext uri="{FF2B5EF4-FFF2-40B4-BE49-F238E27FC236}">
              <a16:creationId xmlns:a16="http://schemas.microsoft.com/office/drawing/2014/main" id="{EB244542-1FCD-412A-BBFD-8F4D2F78C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81" name="Picture 1864" descr="spacer">
          <a:extLst>
            <a:ext uri="{FF2B5EF4-FFF2-40B4-BE49-F238E27FC236}">
              <a16:creationId xmlns:a16="http://schemas.microsoft.com/office/drawing/2014/main" id="{6DC493A9-EEC1-4DE9-B3AF-CE1E2C2E3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82" name="Picture 1865" descr="spacer">
          <a:extLst>
            <a:ext uri="{FF2B5EF4-FFF2-40B4-BE49-F238E27FC236}">
              <a16:creationId xmlns:a16="http://schemas.microsoft.com/office/drawing/2014/main" id="{E0C6D9DB-A78D-49B2-9F1A-EE8318DD9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83" name="Picture 1866" descr="spacer">
          <a:extLst>
            <a:ext uri="{FF2B5EF4-FFF2-40B4-BE49-F238E27FC236}">
              <a16:creationId xmlns:a16="http://schemas.microsoft.com/office/drawing/2014/main" id="{94B2100E-DEB7-4B6A-8468-8F555C5CFF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84" name="Picture 1867" descr="spacer">
          <a:extLst>
            <a:ext uri="{FF2B5EF4-FFF2-40B4-BE49-F238E27FC236}">
              <a16:creationId xmlns:a16="http://schemas.microsoft.com/office/drawing/2014/main" id="{5AE725BA-4A64-4243-A744-FC881C1424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85" name="Picture 1868" descr="spacer">
          <a:extLst>
            <a:ext uri="{FF2B5EF4-FFF2-40B4-BE49-F238E27FC236}">
              <a16:creationId xmlns:a16="http://schemas.microsoft.com/office/drawing/2014/main" id="{848F4751-39EF-4B28-A5E2-E846F5D63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86" name="Picture 1869" descr="spacer">
          <a:extLst>
            <a:ext uri="{FF2B5EF4-FFF2-40B4-BE49-F238E27FC236}">
              <a16:creationId xmlns:a16="http://schemas.microsoft.com/office/drawing/2014/main" id="{ED6B7E2D-B014-40F6-B684-D3C7AE1D6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87" name="Picture 1870" descr="spacer">
          <a:extLst>
            <a:ext uri="{FF2B5EF4-FFF2-40B4-BE49-F238E27FC236}">
              <a16:creationId xmlns:a16="http://schemas.microsoft.com/office/drawing/2014/main" id="{237E9CB5-EC9D-44A5-8309-886ACFF96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88" name="Picture 1871" descr="spacer">
          <a:extLst>
            <a:ext uri="{FF2B5EF4-FFF2-40B4-BE49-F238E27FC236}">
              <a16:creationId xmlns:a16="http://schemas.microsoft.com/office/drawing/2014/main" id="{AB69978E-8DBB-48EF-995F-68E04EEBD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89" name="Picture 1872" descr="spacer">
          <a:extLst>
            <a:ext uri="{FF2B5EF4-FFF2-40B4-BE49-F238E27FC236}">
              <a16:creationId xmlns:a16="http://schemas.microsoft.com/office/drawing/2014/main" id="{51A16AAF-D023-45A5-BDDA-4831CF9DD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890" name="Picture 1875" descr="spacer">
          <a:extLst>
            <a:ext uri="{FF2B5EF4-FFF2-40B4-BE49-F238E27FC236}">
              <a16:creationId xmlns:a16="http://schemas.microsoft.com/office/drawing/2014/main" id="{1BC85FBF-EA4E-4305-B24A-03BAA8B7F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91" name="Picture 1877" descr="spacer">
          <a:extLst>
            <a:ext uri="{FF2B5EF4-FFF2-40B4-BE49-F238E27FC236}">
              <a16:creationId xmlns:a16="http://schemas.microsoft.com/office/drawing/2014/main" id="{22B87FB6-52F0-48C2-8F2C-A859763E6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92" name="Picture 1878" descr="spacer">
          <a:extLst>
            <a:ext uri="{FF2B5EF4-FFF2-40B4-BE49-F238E27FC236}">
              <a16:creationId xmlns:a16="http://schemas.microsoft.com/office/drawing/2014/main" id="{A0BC7818-1B7F-437A-B577-C0B5624338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93" name="Picture 1879" descr="spacer">
          <a:extLst>
            <a:ext uri="{FF2B5EF4-FFF2-40B4-BE49-F238E27FC236}">
              <a16:creationId xmlns:a16="http://schemas.microsoft.com/office/drawing/2014/main" id="{ACB20913-8401-4E93-B1B3-4C0DACD15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94" name="Picture 1880" descr="spacer">
          <a:extLst>
            <a:ext uri="{FF2B5EF4-FFF2-40B4-BE49-F238E27FC236}">
              <a16:creationId xmlns:a16="http://schemas.microsoft.com/office/drawing/2014/main" id="{F1DFA971-A4F1-4F9E-99C9-37E752CE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95" name="Picture 1881" descr="spacer">
          <a:extLst>
            <a:ext uri="{FF2B5EF4-FFF2-40B4-BE49-F238E27FC236}">
              <a16:creationId xmlns:a16="http://schemas.microsoft.com/office/drawing/2014/main" id="{4D9543DC-3723-4A39-8EEE-CC2BDCFFE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96" name="Picture 1882" descr="spacer">
          <a:extLst>
            <a:ext uri="{FF2B5EF4-FFF2-40B4-BE49-F238E27FC236}">
              <a16:creationId xmlns:a16="http://schemas.microsoft.com/office/drawing/2014/main" id="{4A2EA698-541C-4EB5-ADC2-AF14F44B3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97" name="Picture 1883" descr="spacer">
          <a:extLst>
            <a:ext uri="{FF2B5EF4-FFF2-40B4-BE49-F238E27FC236}">
              <a16:creationId xmlns:a16="http://schemas.microsoft.com/office/drawing/2014/main" id="{B184C678-3BD6-4348-97EF-D0AB356E9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98" name="Picture 1884" descr="spacer">
          <a:extLst>
            <a:ext uri="{FF2B5EF4-FFF2-40B4-BE49-F238E27FC236}">
              <a16:creationId xmlns:a16="http://schemas.microsoft.com/office/drawing/2014/main" id="{793CC33E-0C89-405C-A69A-4F250A069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899" name="Picture 1885" descr="spacer">
          <a:extLst>
            <a:ext uri="{FF2B5EF4-FFF2-40B4-BE49-F238E27FC236}">
              <a16:creationId xmlns:a16="http://schemas.microsoft.com/office/drawing/2014/main" id="{AB0D6661-4B6A-4FA1-93F7-AB06CE4C9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00" name="Picture 1886" descr="spacer">
          <a:extLst>
            <a:ext uri="{FF2B5EF4-FFF2-40B4-BE49-F238E27FC236}">
              <a16:creationId xmlns:a16="http://schemas.microsoft.com/office/drawing/2014/main" id="{3AECF830-8C50-439F-9449-5754FA21C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01" name="Picture 1887" descr="spacer">
          <a:extLst>
            <a:ext uri="{FF2B5EF4-FFF2-40B4-BE49-F238E27FC236}">
              <a16:creationId xmlns:a16="http://schemas.microsoft.com/office/drawing/2014/main" id="{C92E1E05-1346-4E3D-BFC0-51734A143A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902" name="Picture 1890" descr="spacer">
          <a:extLst>
            <a:ext uri="{FF2B5EF4-FFF2-40B4-BE49-F238E27FC236}">
              <a16:creationId xmlns:a16="http://schemas.microsoft.com/office/drawing/2014/main" id="{AA624FF7-6E1A-4711-86B8-EF7B3802B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03" name="Picture 1892" descr="spacer">
          <a:extLst>
            <a:ext uri="{FF2B5EF4-FFF2-40B4-BE49-F238E27FC236}">
              <a16:creationId xmlns:a16="http://schemas.microsoft.com/office/drawing/2014/main" id="{210D7946-CB3D-4BA6-B97D-5507314C9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04" name="Picture 1893" descr="spacer">
          <a:extLst>
            <a:ext uri="{FF2B5EF4-FFF2-40B4-BE49-F238E27FC236}">
              <a16:creationId xmlns:a16="http://schemas.microsoft.com/office/drawing/2014/main" id="{35B4AAD4-DDA0-47F8-B541-68E2D4CF8E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05" name="Picture 1894" descr="spacer">
          <a:extLst>
            <a:ext uri="{FF2B5EF4-FFF2-40B4-BE49-F238E27FC236}">
              <a16:creationId xmlns:a16="http://schemas.microsoft.com/office/drawing/2014/main" id="{70CC89C2-666B-486A-A4B0-0625FE8F19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06" name="Picture 1895" descr="spacer">
          <a:extLst>
            <a:ext uri="{FF2B5EF4-FFF2-40B4-BE49-F238E27FC236}">
              <a16:creationId xmlns:a16="http://schemas.microsoft.com/office/drawing/2014/main" id="{FA60E28B-5564-4472-9DEB-748AB959E9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07" name="Picture 1896" descr="spacer">
          <a:extLst>
            <a:ext uri="{FF2B5EF4-FFF2-40B4-BE49-F238E27FC236}">
              <a16:creationId xmlns:a16="http://schemas.microsoft.com/office/drawing/2014/main" id="{E7B3A6C8-B0F7-45B1-A31A-EB1D8ABED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08" name="Picture 1897" descr="spacer">
          <a:extLst>
            <a:ext uri="{FF2B5EF4-FFF2-40B4-BE49-F238E27FC236}">
              <a16:creationId xmlns:a16="http://schemas.microsoft.com/office/drawing/2014/main" id="{5A52317D-843E-468C-8EB6-41B194340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09" name="Picture 1898" descr="spacer">
          <a:extLst>
            <a:ext uri="{FF2B5EF4-FFF2-40B4-BE49-F238E27FC236}">
              <a16:creationId xmlns:a16="http://schemas.microsoft.com/office/drawing/2014/main" id="{8E14E6B5-24CE-4400-B295-A2B37893A7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10" name="Picture 1899" descr="spacer">
          <a:extLst>
            <a:ext uri="{FF2B5EF4-FFF2-40B4-BE49-F238E27FC236}">
              <a16:creationId xmlns:a16="http://schemas.microsoft.com/office/drawing/2014/main" id="{6EFA3670-AB93-4DB3-A01C-161F429FE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11" name="Picture 1900" descr="spacer">
          <a:extLst>
            <a:ext uri="{FF2B5EF4-FFF2-40B4-BE49-F238E27FC236}">
              <a16:creationId xmlns:a16="http://schemas.microsoft.com/office/drawing/2014/main" id="{5354C1EB-DEC4-4000-9692-26A27832D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12" name="Picture 1901" descr="spacer">
          <a:extLst>
            <a:ext uri="{FF2B5EF4-FFF2-40B4-BE49-F238E27FC236}">
              <a16:creationId xmlns:a16="http://schemas.microsoft.com/office/drawing/2014/main" id="{96BD3E75-47D7-4DD8-B2D0-8F168E9B8D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13" name="Picture 1902" descr="spacer">
          <a:extLst>
            <a:ext uri="{FF2B5EF4-FFF2-40B4-BE49-F238E27FC236}">
              <a16:creationId xmlns:a16="http://schemas.microsoft.com/office/drawing/2014/main" id="{E6C35DF4-9DF9-4489-BB21-FC81590B8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14" name="Picture 1903" descr="spacer">
          <a:extLst>
            <a:ext uri="{FF2B5EF4-FFF2-40B4-BE49-F238E27FC236}">
              <a16:creationId xmlns:a16="http://schemas.microsoft.com/office/drawing/2014/main" id="{BBCBF21C-5E84-4AFA-A708-FC69F8A5B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15" name="Picture 1904" descr="spacer">
          <a:extLst>
            <a:ext uri="{FF2B5EF4-FFF2-40B4-BE49-F238E27FC236}">
              <a16:creationId xmlns:a16="http://schemas.microsoft.com/office/drawing/2014/main" id="{C5D39459-C377-4C5E-A85B-0CBEC0966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916" name="Picture 1907" descr="spacer">
          <a:extLst>
            <a:ext uri="{FF2B5EF4-FFF2-40B4-BE49-F238E27FC236}">
              <a16:creationId xmlns:a16="http://schemas.microsoft.com/office/drawing/2014/main" id="{A94ADA53-3F93-4A1D-A0A0-50EEA942C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17" name="Picture 1909" descr="spacer">
          <a:extLst>
            <a:ext uri="{FF2B5EF4-FFF2-40B4-BE49-F238E27FC236}">
              <a16:creationId xmlns:a16="http://schemas.microsoft.com/office/drawing/2014/main" id="{937402EC-4E35-4EF3-8421-CF1E48CD7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18" name="Picture 1910" descr="spacer">
          <a:extLst>
            <a:ext uri="{FF2B5EF4-FFF2-40B4-BE49-F238E27FC236}">
              <a16:creationId xmlns:a16="http://schemas.microsoft.com/office/drawing/2014/main" id="{820FE68A-0588-4A13-B020-BEDD445B1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19" name="Picture 1911" descr="spacer">
          <a:extLst>
            <a:ext uri="{FF2B5EF4-FFF2-40B4-BE49-F238E27FC236}">
              <a16:creationId xmlns:a16="http://schemas.microsoft.com/office/drawing/2014/main" id="{2FF9B67D-CDB3-4CAF-8F92-B3B36C4A7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20" name="Picture 1912" descr="spacer">
          <a:extLst>
            <a:ext uri="{FF2B5EF4-FFF2-40B4-BE49-F238E27FC236}">
              <a16:creationId xmlns:a16="http://schemas.microsoft.com/office/drawing/2014/main" id="{C2DFFFAD-B3CC-4310-AB35-5FD5259E2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21" name="Picture 1913" descr="spacer">
          <a:extLst>
            <a:ext uri="{FF2B5EF4-FFF2-40B4-BE49-F238E27FC236}">
              <a16:creationId xmlns:a16="http://schemas.microsoft.com/office/drawing/2014/main" id="{92B2C676-094D-44AA-9180-822F1C03F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22" name="Picture 1914" descr="spacer">
          <a:extLst>
            <a:ext uri="{FF2B5EF4-FFF2-40B4-BE49-F238E27FC236}">
              <a16:creationId xmlns:a16="http://schemas.microsoft.com/office/drawing/2014/main" id="{11A867D9-8FB5-4CB6-9432-07F2DA89D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23" name="Picture 1915" descr="spacer">
          <a:extLst>
            <a:ext uri="{FF2B5EF4-FFF2-40B4-BE49-F238E27FC236}">
              <a16:creationId xmlns:a16="http://schemas.microsoft.com/office/drawing/2014/main" id="{248A6F82-3B4B-4889-B112-EEEE20718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24" name="Picture 1916" descr="spacer">
          <a:extLst>
            <a:ext uri="{FF2B5EF4-FFF2-40B4-BE49-F238E27FC236}">
              <a16:creationId xmlns:a16="http://schemas.microsoft.com/office/drawing/2014/main" id="{F5F02DCC-BFFF-4050-A805-DEF36A442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25" name="Picture 1917" descr="spacer">
          <a:extLst>
            <a:ext uri="{FF2B5EF4-FFF2-40B4-BE49-F238E27FC236}">
              <a16:creationId xmlns:a16="http://schemas.microsoft.com/office/drawing/2014/main" id="{8852E533-7A15-452F-B6C0-9463B3D44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26" name="Picture 1918" descr="spacer">
          <a:extLst>
            <a:ext uri="{FF2B5EF4-FFF2-40B4-BE49-F238E27FC236}">
              <a16:creationId xmlns:a16="http://schemas.microsoft.com/office/drawing/2014/main" id="{89634D27-3DA0-4198-9021-B93D121F1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27" name="Picture 1919" descr="spacer">
          <a:extLst>
            <a:ext uri="{FF2B5EF4-FFF2-40B4-BE49-F238E27FC236}">
              <a16:creationId xmlns:a16="http://schemas.microsoft.com/office/drawing/2014/main" id="{D6343CB1-6C39-4340-AB96-5423AE0695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28" name="Picture 1920" descr="spacer">
          <a:extLst>
            <a:ext uri="{FF2B5EF4-FFF2-40B4-BE49-F238E27FC236}">
              <a16:creationId xmlns:a16="http://schemas.microsoft.com/office/drawing/2014/main" id="{F38648EF-2612-4678-8EC1-BD5143933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29" name="Picture 1921" descr="spacer">
          <a:extLst>
            <a:ext uri="{FF2B5EF4-FFF2-40B4-BE49-F238E27FC236}">
              <a16:creationId xmlns:a16="http://schemas.microsoft.com/office/drawing/2014/main" id="{53D852B6-A7B9-4872-8324-E68C347EC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930" name="Picture 1924" descr="spacer">
          <a:extLst>
            <a:ext uri="{FF2B5EF4-FFF2-40B4-BE49-F238E27FC236}">
              <a16:creationId xmlns:a16="http://schemas.microsoft.com/office/drawing/2014/main" id="{EEBF3B4D-544F-4D1F-ADDE-E951C99E29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31" name="Picture 1926" descr="spacer">
          <a:extLst>
            <a:ext uri="{FF2B5EF4-FFF2-40B4-BE49-F238E27FC236}">
              <a16:creationId xmlns:a16="http://schemas.microsoft.com/office/drawing/2014/main" id="{3E5B8F9E-CEF1-422C-92FD-9F84EAB60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32" name="Picture 1927" descr="spacer">
          <a:extLst>
            <a:ext uri="{FF2B5EF4-FFF2-40B4-BE49-F238E27FC236}">
              <a16:creationId xmlns:a16="http://schemas.microsoft.com/office/drawing/2014/main" id="{C0860B23-0C5C-477C-A5E1-789ADFF92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33" name="Picture 1928" descr="spacer">
          <a:extLst>
            <a:ext uri="{FF2B5EF4-FFF2-40B4-BE49-F238E27FC236}">
              <a16:creationId xmlns:a16="http://schemas.microsoft.com/office/drawing/2014/main" id="{796515AD-D60F-4451-815C-029C5B1EF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34" name="Picture 1929" descr="spacer">
          <a:extLst>
            <a:ext uri="{FF2B5EF4-FFF2-40B4-BE49-F238E27FC236}">
              <a16:creationId xmlns:a16="http://schemas.microsoft.com/office/drawing/2014/main" id="{38A25F5C-29C0-41C8-87D8-670355E24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35" name="Picture 1930" descr="spacer">
          <a:extLst>
            <a:ext uri="{FF2B5EF4-FFF2-40B4-BE49-F238E27FC236}">
              <a16:creationId xmlns:a16="http://schemas.microsoft.com/office/drawing/2014/main" id="{07CA149A-65C4-4771-B551-491914A31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36" name="Picture 1931" descr="spacer">
          <a:extLst>
            <a:ext uri="{FF2B5EF4-FFF2-40B4-BE49-F238E27FC236}">
              <a16:creationId xmlns:a16="http://schemas.microsoft.com/office/drawing/2014/main" id="{BED4D5EC-DD2F-46CC-8BEB-953961DB6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37" name="Picture 1932" descr="spacer">
          <a:extLst>
            <a:ext uri="{FF2B5EF4-FFF2-40B4-BE49-F238E27FC236}">
              <a16:creationId xmlns:a16="http://schemas.microsoft.com/office/drawing/2014/main" id="{E7D2C917-AE48-4F2B-BC31-B5329E210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38" name="Picture 1933" descr="spacer">
          <a:extLst>
            <a:ext uri="{FF2B5EF4-FFF2-40B4-BE49-F238E27FC236}">
              <a16:creationId xmlns:a16="http://schemas.microsoft.com/office/drawing/2014/main" id="{234FF7FC-82B2-4AC0-A86F-B5353B002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39" name="Picture 1934" descr="spacer">
          <a:extLst>
            <a:ext uri="{FF2B5EF4-FFF2-40B4-BE49-F238E27FC236}">
              <a16:creationId xmlns:a16="http://schemas.microsoft.com/office/drawing/2014/main" id="{39ABEDE2-616A-42C4-A797-F71343F95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40" name="Picture 1935" descr="spacer">
          <a:extLst>
            <a:ext uri="{FF2B5EF4-FFF2-40B4-BE49-F238E27FC236}">
              <a16:creationId xmlns:a16="http://schemas.microsoft.com/office/drawing/2014/main" id="{588D0BD9-EDC7-4F29-84A3-BE4897D6AC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41" name="Picture 1936" descr="spacer">
          <a:extLst>
            <a:ext uri="{FF2B5EF4-FFF2-40B4-BE49-F238E27FC236}">
              <a16:creationId xmlns:a16="http://schemas.microsoft.com/office/drawing/2014/main" id="{70032281-97C6-4208-B95C-52A999C4C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942" name="Picture 1939" descr="spacer">
          <a:extLst>
            <a:ext uri="{FF2B5EF4-FFF2-40B4-BE49-F238E27FC236}">
              <a16:creationId xmlns:a16="http://schemas.microsoft.com/office/drawing/2014/main" id="{66698DA9-B871-47FF-992B-CB0C90018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43" name="Picture 1941" descr="spacer">
          <a:extLst>
            <a:ext uri="{FF2B5EF4-FFF2-40B4-BE49-F238E27FC236}">
              <a16:creationId xmlns:a16="http://schemas.microsoft.com/office/drawing/2014/main" id="{59EFC9A4-16AB-4175-A142-8FBC97BC20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44" name="Picture 1942" descr="spacer">
          <a:extLst>
            <a:ext uri="{FF2B5EF4-FFF2-40B4-BE49-F238E27FC236}">
              <a16:creationId xmlns:a16="http://schemas.microsoft.com/office/drawing/2014/main" id="{9153DF0A-A34F-4211-BD8F-A1EF87241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45" name="Picture 1943" descr="spacer">
          <a:extLst>
            <a:ext uri="{FF2B5EF4-FFF2-40B4-BE49-F238E27FC236}">
              <a16:creationId xmlns:a16="http://schemas.microsoft.com/office/drawing/2014/main" id="{F34CDBE0-402A-4237-AC01-EAD04DF97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46" name="Picture 1944" descr="spacer">
          <a:extLst>
            <a:ext uri="{FF2B5EF4-FFF2-40B4-BE49-F238E27FC236}">
              <a16:creationId xmlns:a16="http://schemas.microsoft.com/office/drawing/2014/main" id="{B1F2B188-8F76-4CA3-A044-71B226FBB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47" name="Picture 1945" descr="spacer">
          <a:extLst>
            <a:ext uri="{FF2B5EF4-FFF2-40B4-BE49-F238E27FC236}">
              <a16:creationId xmlns:a16="http://schemas.microsoft.com/office/drawing/2014/main" id="{8472920C-C894-4EBE-A45E-54F3D4FBE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48" name="Picture 1946" descr="spacer">
          <a:extLst>
            <a:ext uri="{FF2B5EF4-FFF2-40B4-BE49-F238E27FC236}">
              <a16:creationId xmlns:a16="http://schemas.microsoft.com/office/drawing/2014/main" id="{E11A35F1-0764-4E1C-9C07-BC55C1C5B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49" name="Picture 1947" descr="spacer">
          <a:extLst>
            <a:ext uri="{FF2B5EF4-FFF2-40B4-BE49-F238E27FC236}">
              <a16:creationId xmlns:a16="http://schemas.microsoft.com/office/drawing/2014/main" id="{78B6D44A-A934-4218-A9A0-08C472B1A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50" name="Picture 1948" descr="spacer">
          <a:extLst>
            <a:ext uri="{FF2B5EF4-FFF2-40B4-BE49-F238E27FC236}">
              <a16:creationId xmlns:a16="http://schemas.microsoft.com/office/drawing/2014/main" id="{5CB6349B-91B0-40D4-8FC8-141E773F3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51" name="Picture 1949" descr="spacer">
          <a:extLst>
            <a:ext uri="{FF2B5EF4-FFF2-40B4-BE49-F238E27FC236}">
              <a16:creationId xmlns:a16="http://schemas.microsoft.com/office/drawing/2014/main" id="{02537FB4-D5BE-47A8-9C47-87E5D7361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52" name="Picture 1950" descr="spacer">
          <a:extLst>
            <a:ext uri="{FF2B5EF4-FFF2-40B4-BE49-F238E27FC236}">
              <a16:creationId xmlns:a16="http://schemas.microsoft.com/office/drawing/2014/main" id="{F32F780C-9E95-49A2-8D72-BE2341E76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53" name="Picture 1951" descr="spacer">
          <a:extLst>
            <a:ext uri="{FF2B5EF4-FFF2-40B4-BE49-F238E27FC236}">
              <a16:creationId xmlns:a16="http://schemas.microsoft.com/office/drawing/2014/main" id="{61329B88-C43F-4F4E-87AA-4C60816B60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54" name="Picture 1952" descr="spacer">
          <a:extLst>
            <a:ext uri="{FF2B5EF4-FFF2-40B4-BE49-F238E27FC236}">
              <a16:creationId xmlns:a16="http://schemas.microsoft.com/office/drawing/2014/main" id="{A7CA9F6A-4631-420A-A721-0B7FDF14E9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55" name="Picture 1953" descr="spacer">
          <a:extLst>
            <a:ext uri="{FF2B5EF4-FFF2-40B4-BE49-F238E27FC236}">
              <a16:creationId xmlns:a16="http://schemas.microsoft.com/office/drawing/2014/main" id="{29BA49CE-A7E8-415B-B4E2-C10E50511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956" name="Picture 1956" descr="spacer">
          <a:extLst>
            <a:ext uri="{FF2B5EF4-FFF2-40B4-BE49-F238E27FC236}">
              <a16:creationId xmlns:a16="http://schemas.microsoft.com/office/drawing/2014/main" id="{A15044B1-D33F-4751-BB91-7DEEE2A08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57" name="Picture 1958" descr="spacer">
          <a:extLst>
            <a:ext uri="{FF2B5EF4-FFF2-40B4-BE49-F238E27FC236}">
              <a16:creationId xmlns:a16="http://schemas.microsoft.com/office/drawing/2014/main" id="{4A47A851-DE56-47DF-BBAB-D6CEE7939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58" name="Picture 1959" descr="spacer">
          <a:extLst>
            <a:ext uri="{FF2B5EF4-FFF2-40B4-BE49-F238E27FC236}">
              <a16:creationId xmlns:a16="http://schemas.microsoft.com/office/drawing/2014/main" id="{83E69BA6-EBAB-448C-828B-9423E08A0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59" name="Picture 1960" descr="spacer">
          <a:extLst>
            <a:ext uri="{FF2B5EF4-FFF2-40B4-BE49-F238E27FC236}">
              <a16:creationId xmlns:a16="http://schemas.microsoft.com/office/drawing/2014/main" id="{296D8B02-D96F-45A4-99C8-EB2A48E9E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60" name="Picture 1961" descr="spacer">
          <a:extLst>
            <a:ext uri="{FF2B5EF4-FFF2-40B4-BE49-F238E27FC236}">
              <a16:creationId xmlns:a16="http://schemas.microsoft.com/office/drawing/2014/main" id="{E281F1E6-0EF0-4091-89EA-0988388AC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61" name="Picture 1962" descr="spacer">
          <a:extLst>
            <a:ext uri="{FF2B5EF4-FFF2-40B4-BE49-F238E27FC236}">
              <a16:creationId xmlns:a16="http://schemas.microsoft.com/office/drawing/2014/main" id="{4CD71595-0915-4EDC-BE4C-22AE574C9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62" name="Picture 1963" descr="spacer">
          <a:extLst>
            <a:ext uri="{FF2B5EF4-FFF2-40B4-BE49-F238E27FC236}">
              <a16:creationId xmlns:a16="http://schemas.microsoft.com/office/drawing/2014/main" id="{BBFFD96F-AE7D-47AF-B660-B5BF6BC4A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63" name="Picture 1964" descr="spacer">
          <a:extLst>
            <a:ext uri="{FF2B5EF4-FFF2-40B4-BE49-F238E27FC236}">
              <a16:creationId xmlns:a16="http://schemas.microsoft.com/office/drawing/2014/main" id="{EB9F6F94-7CFC-4589-A2F2-F1BBD226B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64" name="Picture 1965" descr="spacer">
          <a:extLst>
            <a:ext uri="{FF2B5EF4-FFF2-40B4-BE49-F238E27FC236}">
              <a16:creationId xmlns:a16="http://schemas.microsoft.com/office/drawing/2014/main" id="{68A2CE96-73F7-46D3-8062-3E1556A83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65" name="Picture 1966" descr="spacer">
          <a:extLst>
            <a:ext uri="{FF2B5EF4-FFF2-40B4-BE49-F238E27FC236}">
              <a16:creationId xmlns:a16="http://schemas.microsoft.com/office/drawing/2014/main" id="{9AD86457-F1FC-4E30-AEA4-DCB964626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66" name="Picture 1967" descr="spacer">
          <a:extLst>
            <a:ext uri="{FF2B5EF4-FFF2-40B4-BE49-F238E27FC236}">
              <a16:creationId xmlns:a16="http://schemas.microsoft.com/office/drawing/2014/main" id="{28CEB01A-8527-4F0E-93DA-64C05DFEB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67" name="Picture 1968" descr="spacer">
          <a:extLst>
            <a:ext uri="{FF2B5EF4-FFF2-40B4-BE49-F238E27FC236}">
              <a16:creationId xmlns:a16="http://schemas.microsoft.com/office/drawing/2014/main" id="{641DA5EF-AB4F-4156-9D13-FCC7E8DC3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68" name="Picture 1969" descr="spacer">
          <a:extLst>
            <a:ext uri="{FF2B5EF4-FFF2-40B4-BE49-F238E27FC236}">
              <a16:creationId xmlns:a16="http://schemas.microsoft.com/office/drawing/2014/main" id="{110BA666-DD62-4373-8F07-7CC7730E7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69" name="Picture 1970" descr="spacer">
          <a:extLst>
            <a:ext uri="{FF2B5EF4-FFF2-40B4-BE49-F238E27FC236}">
              <a16:creationId xmlns:a16="http://schemas.microsoft.com/office/drawing/2014/main" id="{407EBA26-736D-4850-B738-3E1F66255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70" name="Picture 1971" descr="spacer">
          <a:extLst>
            <a:ext uri="{FF2B5EF4-FFF2-40B4-BE49-F238E27FC236}">
              <a16:creationId xmlns:a16="http://schemas.microsoft.com/office/drawing/2014/main" id="{9546B9BD-C931-4981-A4E4-3ADE6A0F8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971" name="Picture 1974" descr="spacer">
          <a:extLst>
            <a:ext uri="{FF2B5EF4-FFF2-40B4-BE49-F238E27FC236}">
              <a16:creationId xmlns:a16="http://schemas.microsoft.com/office/drawing/2014/main" id="{389EE094-1260-45B7-B490-5AE42C286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72" name="Picture 1976" descr="spacer">
          <a:extLst>
            <a:ext uri="{FF2B5EF4-FFF2-40B4-BE49-F238E27FC236}">
              <a16:creationId xmlns:a16="http://schemas.microsoft.com/office/drawing/2014/main" id="{426AA0A1-5B8C-4500-AE49-D723EA0A3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73" name="Picture 1977" descr="spacer">
          <a:extLst>
            <a:ext uri="{FF2B5EF4-FFF2-40B4-BE49-F238E27FC236}">
              <a16:creationId xmlns:a16="http://schemas.microsoft.com/office/drawing/2014/main" id="{3D31D53C-280F-4165-A5F8-37893D919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74" name="Picture 1978" descr="spacer">
          <a:extLst>
            <a:ext uri="{FF2B5EF4-FFF2-40B4-BE49-F238E27FC236}">
              <a16:creationId xmlns:a16="http://schemas.microsoft.com/office/drawing/2014/main" id="{B9521C10-C155-4E59-B231-B8DA40410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75" name="Picture 1979" descr="spacer">
          <a:extLst>
            <a:ext uri="{FF2B5EF4-FFF2-40B4-BE49-F238E27FC236}">
              <a16:creationId xmlns:a16="http://schemas.microsoft.com/office/drawing/2014/main" id="{7FDADFAB-F941-4E31-A337-0682486D0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76" name="Picture 1980" descr="spacer">
          <a:extLst>
            <a:ext uri="{FF2B5EF4-FFF2-40B4-BE49-F238E27FC236}">
              <a16:creationId xmlns:a16="http://schemas.microsoft.com/office/drawing/2014/main" id="{EF333B7D-D080-425E-8369-6FF71D7D2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77" name="Picture 1981" descr="spacer">
          <a:extLst>
            <a:ext uri="{FF2B5EF4-FFF2-40B4-BE49-F238E27FC236}">
              <a16:creationId xmlns:a16="http://schemas.microsoft.com/office/drawing/2014/main" id="{1F3FDE37-360F-4274-92C0-A657F8FEF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78" name="Picture 1982" descr="spacer">
          <a:extLst>
            <a:ext uri="{FF2B5EF4-FFF2-40B4-BE49-F238E27FC236}">
              <a16:creationId xmlns:a16="http://schemas.microsoft.com/office/drawing/2014/main" id="{F2AD0ADE-E6FC-415E-A54C-BAC58C2A7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79" name="Picture 1983" descr="spacer">
          <a:extLst>
            <a:ext uri="{FF2B5EF4-FFF2-40B4-BE49-F238E27FC236}">
              <a16:creationId xmlns:a16="http://schemas.microsoft.com/office/drawing/2014/main" id="{FA51EEE3-0A97-4444-A5C2-3973A714E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80" name="Picture 1984" descr="spacer">
          <a:extLst>
            <a:ext uri="{FF2B5EF4-FFF2-40B4-BE49-F238E27FC236}">
              <a16:creationId xmlns:a16="http://schemas.microsoft.com/office/drawing/2014/main" id="{4B9C3491-72A7-4F38-A031-31BF6709F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81" name="Picture 1985" descr="spacer">
          <a:extLst>
            <a:ext uri="{FF2B5EF4-FFF2-40B4-BE49-F238E27FC236}">
              <a16:creationId xmlns:a16="http://schemas.microsoft.com/office/drawing/2014/main" id="{02DAF790-D2CA-4BF5-8B0B-988B74178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82" name="Picture 1986" descr="spacer">
          <a:extLst>
            <a:ext uri="{FF2B5EF4-FFF2-40B4-BE49-F238E27FC236}">
              <a16:creationId xmlns:a16="http://schemas.microsoft.com/office/drawing/2014/main" id="{DF52F1A3-0E1D-4B39-837C-2D6C0486B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83" name="Picture 1987" descr="spacer">
          <a:extLst>
            <a:ext uri="{FF2B5EF4-FFF2-40B4-BE49-F238E27FC236}">
              <a16:creationId xmlns:a16="http://schemas.microsoft.com/office/drawing/2014/main" id="{2E40BA43-372C-4720-9406-E9CBE1B83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84" name="Picture 1988" descr="spacer">
          <a:extLst>
            <a:ext uri="{FF2B5EF4-FFF2-40B4-BE49-F238E27FC236}">
              <a16:creationId xmlns:a16="http://schemas.microsoft.com/office/drawing/2014/main" id="{43A79972-AECD-448C-B55E-3D2CF7975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85" name="Picture 1989" descr="spacer">
          <a:extLst>
            <a:ext uri="{FF2B5EF4-FFF2-40B4-BE49-F238E27FC236}">
              <a16:creationId xmlns:a16="http://schemas.microsoft.com/office/drawing/2014/main" id="{385F2906-CEAB-476F-90B2-8E749A7C9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1986" name="Picture 1992" descr="spacer">
          <a:extLst>
            <a:ext uri="{FF2B5EF4-FFF2-40B4-BE49-F238E27FC236}">
              <a16:creationId xmlns:a16="http://schemas.microsoft.com/office/drawing/2014/main" id="{DE1D01BD-0DBE-4FDD-B49A-F9FFB51F8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87" name="Picture 1994" descr="spacer">
          <a:extLst>
            <a:ext uri="{FF2B5EF4-FFF2-40B4-BE49-F238E27FC236}">
              <a16:creationId xmlns:a16="http://schemas.microsoft.com/office/drawing/2014/main" id="{8A76EAB6-17CE-4997-A5B6-C4363E3C1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88" name="Picture 1995" descr="spacer">
          <a:extLst>
            <a:ext uri="{FF2B5EF4-FFF2-40B4-BE49-F238E27FC236}">
              <a16:creationId xmlns:a16="http://schemas.microsoft.com/office/drawing/2014/main" id="{51691B5F-FC94-4B02-A30A-8059185B3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89" name="Picture 1996" descr="spacer">
          <a:extLst>
            <a:ext uri="{FF2B5EF4-FFF2-40B4-BE49-F238E27FC236}">
              <a16:creationId xmlns:a16="http://schemas.microsoft.com/office/drawing/2014/main" id="{07E8B67A-3427-42C9-B0DF-CC5430BBB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90" name="Picture 1997" descr="spacer">
          <a:extLst>
            <a:ext uri="{FF2B5EF4-FFF2-40B4-BE49-F238E27FC236}">
              <a16:creationId xmlns:a16="http://schemas.microsoft.com/office/drawing/2014/main" id="{D040152B-EF59-4B89-A9C7-A86C6CC32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91" name="Picture 1998" descr="spacer">
          <a:extLst>
            <a:ext uri="{FF2B5EF4-FFF2-40B4-BE49-F238E27FC236}">
              <a16:creationId xmlns:a16="http://schemas.microsoft.com/office/drawing/2014/main" id="{B0C05B25-FEB9-4927-AB60-8F2FFE8AC2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92" name="Picture 1999" descr="spacer">
          <a:extLst>
            <a:ext uri="{FF2B5EF4-FFF2-40B4-BE49-F238E27FC236}">
              <a16:creationId xmlns:a16="http://schemas.microsoft.com/office/drawing/2014/main" id="{36A8E6CB-F045-475F-91DD-325F08E61C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93" name="Picture 2000" descr="spacer">
          <a:extLst>
            <a:ext uri="{FF2B5EF4-FFF2-40B4-BE49-F238E27FC236}">
              <a16:creationId xmlns:a16="http://schemas.microsoft.com/office/drawing/2014/main" id="{8CD9C5FA-A727-4AB9-B6BB-55C96D3AA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94" name="Picture 2001" descr="spacer">
          <a:extLst>
            <a:ext uri="{FF2B5EF4-FFF2-40B4-BE49-F238E27FC236}">
              <a16:creationId xmlns:a16="http://schemas.microsoft.com/office/drawing/2014/main" id="{57F52893-32E7-4372-BD0B-55D681140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95" name="Picture 2002" descr="spacer">
          <a:extLst>
            <a:ext uri="{FF2B5EF4-FFF2-40B4-BE49-F238E27FC236}">
              <a16:creationId xmlns:a16="http://schemas.microsoft.com/office/drawing/2014/main" id="{5D802EBA-7A70-4F6F-A2B8-76321F6E9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96" name="Picture 2003" descr="spacer">
          <a:extLst>
            <a:ext uri="{FF2B5EF4-FFF2-40B4-BE49-F238E27FC236}">
              <a16:creationId xmlns:a16="http://schemas.microsoft.com/office/drawing/2014/main" id="{334CFA6B-4419-4310-96E0-346732A0C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97" name="Picture 2004" descr="spacer">
          <a:extLst>
            <a:ext uri="{FF2B5EF4-FFF2-40B4-BE49-F238E27FC236}">
              <a16:creationId xmlns:a16="http://schemas.microsoft.com/office/drawing/2014/main" id="{BE513BC4-6F25-42F6-944B-8F7D47922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98" name="Picture 2005" descr="spacer">
          <a:extLst>
            <a:ext uri="{FF2B5EF4-FFF2-40B4-BE49-F238E27FC236}">
              <a16:creationId xmlns:a16="http://schemas.microsoft.com/office/drawing/2014/main" id="{5BEB028B-1101-4B14-BCBA-F1323F3D9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1999" name="Picture 2006" descr="spacer">
          <a:extLst>
            <a:ext uri="{FF2B5EF4-FFF2-40B4-BE49-F238E27FC236}">
              <a16:creationId xmlns:a16="http://schemas.microsoft.com/office/drawing/2014/main" id="{FEC6C0AA-6150-42B3-89C9-61B5635F6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00" name="Picture 2007" descr="spacer">
          <a:extLst>
            <a:ext uri="{FF2B5EF4-FFF2-40B4-BE49-F238E27FC236}">
              <a16:creationId xmlns:a16="http://schemas.microsoft.com/office/drawing/2014/main" id="{D114EED2-0500-416E-934E-F70632604A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001" name="Picture 2010" descr="spacer">
          <a:extLst>
            <a:ext uri="{FF2B5EF4-FFF2-40B4-BE49-F238E27FC236}">
              <a16:creationId xmlns:a16="http://schemas.microsoft.com/office/drawing/2014/main" id="{9020E6B8-EE04-4EFF-9BEA-9AFEAFED38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02" name="Picture 2012" descr="spacer">
          <a:extLst>
            <a:ext uri="{FF2B5EF4-FFF2-40B4-BE49-F238E27FC236}">
              <a16:creationId xmlns:a16="http://schemas.microsoft.com/office/drawing/2014/main" id="{3B980D57-69CD-4495-B20F-FE3F4B1E8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03" name="Picture 2013" descr="spacer">
          <a:extLst>
            <a:ext uri="{FF2B5EF4-FFF2-40B4-BE49-F238E27FC236}">
              <a16:creationId xmlns:a16="http://schemas.microsoft.com/office/drawing/2014/main" id="{AA5EA567-A31D-4574-B23A-74403F5678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04" name="Picture 2014" descr="spacer">
          <a:extLst>
            <a:ext uri="{FF2B5EF4-FFF2-40B4-BE49-F238E27FC236}">
              <a16:creationId xmlns:a16="http://schemas.microsoft.com/office/drawing/2014/main" id="{35851A45-D1FA-4A59-BF06-08E02585A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05" name="Picture 2015" descr="spacer">
          <a:extLst>
            <a:ext uri="{FF2B5EF4-FFF2-40B4-BE49-F238E27FC236}">
              <a16:creationId xmlns:a16="http://schemas.microsoft.com/office/drawing/2014/main" id="{A7262803-9FEC-4325-8062-9D0115675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06" name="Picture 2016" descr="spacer">
          <a:extLst>
            <a:ext uri="{FF2B5EF4-FFF2-40B4-BE49-F238E27FC236}">
              <a16:creationId xmlns:a16="http://schemas.microsoft.com/office/drawing/2014/main" id="{D46DF008-0397-4764-AB93-410A8A567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07" name="Picture 2017" descr="spacer">
          <a:extLst>
            <a:ext uri="{FF2B5EF4-FFF2-40B4-BE49-F238E27FC236}">
              <a16:creationId xmlns:a16="http://schemas.microsoft.com/office/drawing/2014/main" id="{57EBA158-6517-4ECB-AE8E-0A65141313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08" name="Picture 2018" descr="spacer">
          <a:extLst>
            <a:ext uri="{FF2B5EF4-FFF2-40B4-BE49-F238E27FC236}">
              <a16:creationId xmlns:a16="http://schemas.microsoft.com/office/drawing/2014/main" id="{0486575C-AADE-4E62-BD87-DEF3C98A8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09" name="Picture 2019" descr="spacer">
          <a:extLst>
            <a:ext uri="{FF2B5EF4-FFF2-40B4-BE49-F238E27FC236}">
              <a16:creationId xmlns:a16="http://schemas.microsoft.com/office/drawing/2014/main" id="{1578CE5A-EF76-471E-8151-61E050603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10" name="Picture 2020" descr="spacer">
          <a:extLst>
            <a:ext uri="{FF2B5EF4-FFF2-40B4-BE49-F238E27FC236}">
              <a16:creationId xmlns:a16="http://schemas.microsoft.com/office/drawing/2014/main" id="{B5575233-3071-48BD-9E9E-C07A15EE1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11" name="Picture 2021" descr="spacer">
          <a:extLst>
            <a:ext uri="{FF2B5EF4-FFF2-40B4-BE49-F238E27FC236}">
              <a16:creationId xmlns:a16="http://schemas.microsoft.com/office/drawing/2014/main" id="{9E30F7F2-F31F-4567-925C-475A6FDA73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12" name="Picture 2022" descr="spacer">
          <a:extLst>
            <a:ext uri="{FF2B5EF4-FFF2-40B4-BE49-F238E27FC236}">
              <a16:creationId xmlns:a16="http://schemas.microsoft.com/office/drawing/2014/main" id="{B38C86FA-A19D-4AA2-AB35-CF587E3E0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13" name="Picture 2023" descr="spacer">
          <a:extLst>
            <a:ext uri="{FF2B5EF4-FFF2-40B4-BE49-F238E27FC236}">
              <a16:creationId xmlns:a16="http://schemas.microsoft.com/office/drawing/2014/main" id="{42637335-3D88-4C71-AF65-26A856B27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14" name="Picture 2024" descr="spacer">
          <a:extLst>
            <a:ext uri="{FF2B5EF4-FFF2-40B4-BE49-F238E27FC236}">
              <a16:creationId xmlns:a16="http://schemas.microsoft.com/office/drawing/2014/main" id="{67293077-10EC-4871-A79F-BB9F3CCB5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015" name="Picture 2027" descr="spacer">
          <a:extLst>
            <a:ext uri="{FF2B5EF4-FFF2-40B4-BE49-F238E27FC236}">
              <a16:creationId xmlns:a16="http://schemas.microsoft.com/office/drawing/2014/main" id="{A68DF29D-564E-4F6A-9928-8533EB5BA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16" name="Picture 2029" descr="spacer">
          <a:extLst>
            <a:ext uri="{FF2B5EF4-FFF2-40B4-BE49-F238E27FC236}">
              <a16:creationId xmlns:a16="http://schemas.microsoft.com/office/drawing/2014/main" id="{9F82EA8B-CC8B-4F49-A5F4-7000ED42D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17" name="Picture 2030" descr="spacer">
          <a:extLst>
            <a:ext uri="{FF2B5EF4-FFF2-40B4-BE49-F238E27FC236}">
              <a16:creationId xmlns:a16="http://schemas.microsoft.com/office/drawing/2014/main" id="{8C959F0F-E595-419B-8F87-5647FE7E6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18" name="Picture 2031" descr="spacer">
          <a:extLst>
            <a:ext uri="{FF2B5EF4-FFF2-40B4-BE49-F238E27FC236}">
              <a16:creationId xmlns:a16="http://schemas.microsoft.com/office/drawing/2014/main" id="{EDCD798F-AA57-41CF-A095-01DC5817AA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19" name="Picture 2032" descr="spacer">
          <a:extLst>
            <a:ext uri="{FF2B5EF4-FFF2-40B4-BE49-F238E27FC236}">
              <a16:creationId xmlns:a16="http://schemas.microsoft.com/office/drawing/2014/main" id="{1F77186D-A783-4DF0-AF98-C7F8F412A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20" name="Picture 2033" descr="spacer">
          <a:extLst>
            <a:ext uri="{FF2B5EF4-FFF2-40B4-BE49-F238E27FC236}">
              <a16:creationId xmlns:a16="http://schemas.microsoft.com/office/drawing/2014/main" id="{B0C23D3C-058F-46FC-9DEF-7A2DB8B72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21" name="Picture 2034" descr="spacer">
          <a:extLst>
            <a:ext uri="{FF2B5EF4-FFF2-40B4-BE49-F238E27FC236}">
              <a16:creationId xmlns:a16="http://schemas.microsoft.com/office/drawing/2014/main" id="{4833B319-1CEC-417A-9502-74AAD77FD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22" name="Picture 2035" descr="spacer">
          <a:extLst>
            <a:ext uri="{FF2B5EF4-FFF2-40B4-BE49-F238E27FC236}">
              <a16:creationId xmlns:a16="http://schemas.microsoft.com/office/drawing/2014/main" id="{021B95F8-DDC1-453A-90F1-F7FEFC236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23" name="Picture 2036" descr="spacer">
          <a:extLst>
            <a:ext uri="{FF2B5EF4-FFF2-40B4-BE49-F238E27FC236}">
              <a16:creationId xmlns:a16="http://schemas.microsoft.com/office/drawing/2014/main" id="{79AEFB6B-7488-409F-A887-63EF99565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24" name="Picture 2037" descr="spacer">
          <a:extLst>
            <a:ext uri="{FF2B5EF4-FFF2-40B4-BE49-F238E27FC236}">
              <a16:creationId xmlns:a16="http://schemas.microsoft.com/office/drawing/2014/main" id="{851AAE2C-1641-4F74-AC1A-B61088518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25" name="Picture 2038" descr="spacer">
          <a:extLst>
            <a:ext uri="{FF2B5EF4-FFF2-40B4-BE49-F238E27FC236}">
              <a16:creationId xmlns:a16="http://schemas.microsoft.com/office/drawing/2014/main" id="{66357E44-7D7B-42B4-A396-98BF190B2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26" name="Picture 2039" descr="spacer">
          <a:extLst>
            <a:ext uri="{FF2B5EF4-FFF2-40B4-BE49-F238E27FC236}">
              <a16:creationId xmlns:a16="http://schemas.microsoft.com/office/drawing/2014/main" id="{A06F919A-98AC-46DC-ACFE-6338CAF75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27" name="Picture 2040" descr="spacer">
          <a:extLst>
            <a:ext uri="{FF2B5EF4-FFF2-40B4-BE49-F238E27FC236}">
              <a16:creationId xmlns:a16="http://schemas.microsoft.com/office/drawing/2014/main" id="{C9386F1F-DD13-4F15-9617-F3B776BB9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028" name="Picture 2043" descr="spacer">
          <a:extLst>
            <a:ext uri="{FF2B5EF4-FFF2-40B4-BE49-F238E27FC236}">
              <a16:creationId xmlns:a16="http://schemas.microsoft.com/office/drawing/2014/main" id="{2492C8AE-0E98-4443-B35E-BB69AC127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29" name="Picture 2045" descr="spacer">
          <a:extLst>
            <a:ext uri="{FF2B5EF4-FFF2-40B4-BE49-F238E27FC236}">
              <a16:creationId xmlns:a16="http://schemas.microsoft.com/office/drawing/2014/main" id="{3C0DC9BE-3505-4832-97BA-9F04BCF54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30" name="Picture 2046" descr="spacer">
          <a:extLst>
            <a:ext uri="{FF2B5EF4-FFF2-40B4-BE49-F238E27FC236}">
              <a16:creationId xmlns:a16="http://schemas.microsoft.com/office/drawing/2014/main" id="{08FB5A4C-30BB-4256-A86B-304D9A267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31" name="Picture 2047" descr="spacer">
          <a:extLst>
            <a:ext uri="{FF2B5EF4-FFF2-40B4-BE49-F238E27FC236}">
              <a16:creationId xmlns:a16="http://schemas.microsoft.com/office/drawing/2014/main" id="{FF33B041-B6D1-4649-974F-50D615C401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32" name="Picture 2048" descr="spacer">
          <a:extLst>
            <a:ext uri="{FF2B5EF4-FFF2-40B4-BE49-F238E27FC236}">
              <a16:creationId xmlns:a16="http://schemas.microsoft.com/office/drawing/2014/main" id="{0675E0E7-9DAE-4049-B80D-6680B02DF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33" name="Picture 2049" descr="spacer">
          <a:extLst>
            <a:ext uri="{FF2B5EF4-FFF2-40B4-BE49-F238E27FC236}">
              <a16:creationId xmlns:a16="http://schemas.microsoft.com/office/drawing/2014/main" id="{F04BF532-9D8B-498B-848A-636F18717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34" name="Picture 2050" descr="spacer">
          <a:extLst>
            <a:ext uri="{FF2B5EF4-FFF2-40B4-BE49-F238E27FC236}">
              <a16:creationId xmlns:a16="http://schemas.microsoft.com/office/drawing/2014/main" id="{E948C182-D7B8-4F83-8F71-2BDC611D2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35" name="Picture 2051" descr="spacer">
          <a:extLst>
            <a:ext uri="{FF2B5EF4-FFF2-40B4-BE49-F238E27FC236}">
              <a16:creationId xmlns:a16="http://schemas.microsoft.com/office/drawing/2014/main" id="{A99BA8FB-992F-40AB-8214-8D7D1E6CA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36" name="Picture 2052" descr="spacer">
          <a:extLst>
            <a:ext uri="{FF2B5EF4-FFF2-40B4-BE49-F238E27FC236}">
              <a16:creationId xmlns:a16="http://schemas.microsoft.com/office/drawing/2014/main" id="{D78F2EDA-566C-4FEB-AF46-6B37626E9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37" name="Picture 2053" descr="spacer">
          <a:extLst>
            <a:ext uri="{FF2B5EF4-FFF2-40B4-BE49-F238E27FC236}">
              <a16:creationId xmlns:a16="http://schemas.microsoft.com/office/drawing/2014/main" id="{2579A207-A712-4AB4-A9D0-72E1EA8252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38" name="Picture 2054" descr="spacer">
          <a:extLst>
            <a:ext uri="{FF2B5EF4-FFF2-40B4-BE49-F238E27FC236}">
              <a16:creationId xmlns:a16="http://schemas.microsoft.com/office/drawing/2014/main" id="{97F3264B-647D-4571-BA12-97A58A373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39" name="Picture 2055" descr="spacer">
          <a:extLst>
            <a:ext uri="{FF2B5EF4-FFF2-40B4-BE49-F238E27FC236}">
              <a16:creationId xmlns:a16="http://schemas.microsoft.com/office/drawing/2014/main" id="{7DCD1A0D-DC08-42A8-9C00-12A82DE02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40" name="Picture 2056" descr="spacer">
          <a:extLst>
            <a:ext uri="{FF2B5EF4-FFF2-40B4-BE49-F238E27FC236}">
              <a16:creationId xmlns:a16="http://schemas.microsoft.com/office/drawing/2014/main" id="{5990E689-F2C7-4508-8452-5C6C87FD3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41" name="Picture 2057" descr="spacer">
          <a:extLst>
            <a:ext uri="{FF2B5EF4-FFF2-40B4-BE49-F238E27FC236}">
              <a16:creationId xmlns:a16="http://schemas.microsoft.com/office/drawing/2014/main" id="{27B54684-4FFA-4934-91A8-AB921E8F0F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042" name="Picture 2060" descr="spacer">
          <a:extLst>
            <a:ext uri="{FF2B5EF4-FFF2-40B4-BE49-F238E27FC236}">
              <a16:creationId xmlns:a16="http://schemas.microsoft.com/office/drawing/2014/main" id="{BC152641-D343-4977-B663-BA6B20AD0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43" name="Picture 2062" descr="spacer">
          <a:extLst>
            <a:ext uri="{FF2B5EF4-FFF2-40B4-BE49-F238E27FC236}">
              <a16:creationId xmlns:a16="http://schemas.microsoft.com/office/drawing/2014/main" id="{C0789CE1-DAAB-4175-9637-B0950A2B4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44" name="Picture 2063" descr="spacer">
          <a:extLst>
            <a:ext uri="{FF2B5EF4-FFF2-40B4-BE49-F238E27FC236}">
              <a16:creationId xmlns:a16="http://schemas.microsoft.com/office/drawing/2014/main" id="{EA26674B-4641-43DA-A094-12688EE18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45" name="Picture 2064" descr="spacer">
          <a:extLst>
            <a:ext uri="{FF2B5EF4-FFF2-40B4-BE49-F238E27FC236}">
              <a16:creationId xmlns:a16="http://schemas.microsoft.com/office/drawing/2014/main" id="{DD2AE3DB-082F-4960-85F7-C69A6FE58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46" name="Picture 2065" descr="spacer">
          <a:extLst>
            <a:ext uri="{FF2B5EF4-FFF2-40B4-BE49-F238E27FC236}">
              <a16:creationId xmlns:a16="http://schemas.microsoft.com/office/drawing/2014/main" id="{103B9EA1-667F-47D0-BE9A-B317B7B25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47" name="Picture 2066" descr="spacer">
          <a:extLst>
            <a:ext uri="{FF2B5EF4-FFF2-40B4-BE49-F238E27FC236}">
              <a16:creationId xmlns:a16="http://schemas.microsoft.com/office/drawing/2014/main" id="{C175AB6C-6265-400F-9F24-763249BF5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48" name="Picture 2067" descr="spacer">
          <a:extLst>
            <a:ext uri="{FF2B5EF4-FFF2-40B4-BE49-F238E27FC236}">
              <a16:creationId xmlns:a16="http://schemas.microsoft.com/office/drawing/2014/main" id="{56258130-2FE8-4B93-BC56-F6224088F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49" name="Picture 2068" descr="spacer">
          <a:extLst>
            <a:ext uri="{FF2B5EF4-FFF2-40B4-BE49-F238E27FC236}">
              <a16:creationId xmlns:a16="http://schemas.microsoft.com/office/drawing/2014/main" id="{2590CC6A-BB6A-4097-9404-515C8A062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50" name="Picture 2069" descr="spacer">
          <a:extLst>
            <a:ext uri="{FF2B5EF4-FFF2-40B4-BE49-F238E27FC236}">
              <a16:creationId xmlns:a16="http://schemas.microsoft.com/office/drawing/2014/main" id="{2C91D196-6BB0-42B7-A3B9-BC200EC9F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51" name="Picture 2070" descr="spacer">
          <a:extLst>
            <a:ext uri="{FF2B5EF4-FFF2-40B4-BE49-F238E27FC236}">
              <a16:creationId xmlns:a16="http://schemas.microsoft.com/office/drawing/2014/main" id="{FA4DBF86-6F95-4367-911E-69C895830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52" name="Picture 2071" descr="spacer">
          <a:extLst>
            <a:ext uri="{FF2B5EF4-FFF2-40B4-BE49-F238E27FC236}">
              <a16:creationId xmlns:a16="http://schemas.microsoft.com/office/drawing/2014/main" id="{40DFE190-5A45-47F4-BEAD-478DD2281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53" name="Picture 2072" descr="spacer">
          <a:extLst>
            <a:ext uri="{FF2B5EF4-FFF2-40B4-BE49-F238E27FC236}">
              <a16:creationId xmlns:a16="http://schemas.microsoft.com/office/drawing/2014/main" id="{EBFEE405-9995-4509-B629-1A094C1A6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54" name="Picture 2073" descr="spacer">
          <a:extLst>
            <a:ext uri="{FF2B5EF4-FFF2-40B4-BE49-F238E27FC236}">
              <a16:creationId xmlns:a16="http://schemas.microsoft.com/office/drawing/2014/main" id="{6533161B-C438-47D7-9120-64D87D7BB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55" name="Picture 2074" descr="spacer">
          <a:extLst>
            <a:ext uri="{FF2B5EF4-FFF2-40B4-BE49-F238E27FC236}">
              <a16:creationId xmlns:a16="http://schemas.microsoft.com/office/drawing/2014/main" id="{1050D0C2-E60E-4135-8CEA-1273C6D61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56" name="Picture 2075" descr="spacer">
          <a:extLst>
            <a:ext uri="{FF2B5EF4-FFF2-40B4-BE49-F238E27FC236}">
              <a16:creationId xmlns:a16="http://schemas.microsoft.com/office/drawing/2014/main" id="{0DB8B5DB-FB2B-4262-AF54-F02748A16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057" name="Picture 2078" descr="spacer">
          <a:extLst>
            <a:ext uri="{FF2B5EF4-FFF2-40B4-BE49-F238E27FC236}">
              <a16:creationId xmlns:a16="http://schemas.microsoft.com/office/drawing/2014/main" id="{481F8FE8-523B-4290-B812-43E4FD398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58" name="Picture 2080" descr="spacer">
          <a:extLst>
            <a:ext uri="{FF2B5EF4-FFF2-40B4-BE49-F238E27FC236}">
              <a16:creationId xmlns:a16="http://schemas.microsoft.com/office/drawing/2014/main" id="{C7724E2F-9EFC-49ED-83C1-BDE2D2C30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59" name="Picture 2081" descr="spacer">
          <a:extLst>
            <a:ext uri="{FF2B5EF4-FFF2-40B4-BE49-F238E27FC236}">
              <a16:creationId xmlns:a16="http://schemas.microsoft.com/office/drawing/2014/main" id="{00255FE3-CE99-43B8-ADA2-ED00ED698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60" name="Picture 2082" descr="spacer">
          <a:extLst>
            <a:ext uri="{FF2B5EF4-FFF2-40B4-BE49-F238E27FC236}">
              <a16:creationId xmlns:a16="http://schemas.microsoft.com/office/drawing/2014/main" id="{7848DF19-D973-4133-9C3D-5D7901874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61" name="Picture 2083" descr="spacer">
          <a:extLst>
            <a:ext uri="{FF2B5EF4-FFF2-40B4-BE49-F238E27FC236}">
              <a16:creationId xmlns:a16="http://schemas.microsoft.com/office/drawing/2014/main" id="{81A9BC43-6EB8-474B-98FB-735F160F9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62" name="Picture 2084" descr="spacer">
          <a:extLst>
            <a:ext uri="{FF2B5EF4-FFF2-40B4-BE49-F238E27FC236}">
              <a16:creationId xmlns:a16="http://schemas.microsoft.com/office/drawing/2014/main" id="{4466F086-A1B0-473D-A235-0DE424859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63" name="Picture 2085" descr="spacer">
          <a:extLst>
            <a:ext uri="{FF2B5EF4-FFF2-40B4-BE49-F238E27FC236}">
              <a16:creationId xmlns:a16="http://schemas.microsoft.com/office/drawing/2014/main" id="{621CFAEF-5CA5-4877-B432-CAE5EA3978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64" name="Picture 2086" descr="spacer">
          <a:extLst>
            <a:ext uri="{FF2B5EF4-FFF2-40B4-BE49-F238E27FC236}">
              <a16:creationId xmlns:a16="http://schemas.microsoft.com/office/drawing/2014/main" id="{C6AED44E-A12A-417C-A9DE-A8CD387340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65" name="Picture 2087" descr="spacer">
          <a:extLst>
            <a:ext uri="{FF2B5EF4-FFF2-40B4-BE49-F238E27FC236}">
              <a16:creationId xmlns:a16="http://schemas.microsoft.com/office/drawing/2014/main" id="{1CB18E99-6685-4AAC-AC32-899D85A8B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66" name="Picture 2088" descr="spacer">
          <a:extLst>
            <a:ext uri="{FF2B5EF4-FFF2-40B4-BE49-F238E27FC236}">
              <a16:creationId xmlns:a16="http://schemas.microsoft.com/office/drawing/2014/main" id="{908CCB94-4FEB-49C8-B634-B438CD449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67" name="Picture 2089" descr="spacer">
          <a:extLst>
            <a:ext uri="{FF2B5EF4-FFF2-40B4-BE49-F238E27FC236}">
              <a16:creationId xmlns:a16="http://schemas.microsoft.com/office/drawing/2014/main" id="{CE2B7EA0-3B91-4E16-9C84-B201C13EE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68" name="Picture 2090" descr="spacer">
          <a:extLst>
            <a:ext uri="{FF2B5EF4-FFF2-40B4-BE49-F238E27FC236}">
              <a16:creationId xmlns:a16="http://schemas.microsoft.com/office/drawing/2014/main" id="{DD1B82F6-8467-4A68-8327-ADFF94119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69" name="Picture 2091" descr="spacer">
          <a:extLst>
            <a:ext uri="{FF2B5EF4-FFF2-40B4-BE49-F238E27FC236}">
              <a16:creationId xmlns:a16="http://schemas.microsoft.com/office/drawing/2014/main" id="{83B32B96-F931-4FBF-B08C-1EF07611F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70" name="Picture 2092" descr="spacer">
          <a:extLst>
            <a:ext uri="{FF2B5EF4-FFF2-40B4-BE49-F238E27FC236}">
              <a16:creationId xmlns:a16="http://schemas.microsoft.com/office/drawing/2014/main" id="{95D88EAA-EB82-4145-8EEA-A9290EE3F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71" name="Picture 2093" descr="spacer">
          <a:extLst>
            <a:ext uri="{FF2B5EF4-FFF2-40B4-BE49-F238E27FC236}">
              <a16:creationId xmlns:a16="http://schemas.microsoft.com/office/drawing/2014/main" id="{714476E3-7E86-4C51-84FE-8F6D2B50E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072" name="Picture 2096" descr="spacer">
          <a:extLst>
            <a:ext uri="{FF2B5EF4-FFF2-40B4-BE49-F238E27FC236}">
              <a16:creationId xmlns:a16="http://schemas.microsoft.com/office/drawing/2014/main" id="{44003976-3254-4F1B-9BA3-0DB7EE303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73" name="Picture 2098" descr="spacer">
          <a:extLst>
            <a:ext uri="{FF2B5EF4-FFF2-40B4-BE49-F238E27FC236}">
              <a16:creationId xmlns:a16="http://schemas.microsoft.com/office/drawing/2014/main" id="{BA24E611-399D-4CBB-9641-19BE81EC0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74" name="Picture 2099" descr="spacer">
          <a:extLst>
            <a:ext uri="{FF2B5EF4-FFF2-40B4-BE49-F238E27FC236}">
              <a16:creationId xmlns:a16="http://schemas.microsoft.com/office/drawing/2014/main" id="{A873ED22-02BB-4238-8E6F-0FB16A01E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75" name="Picture 2100" descr="spacer">
          <a:extLst>
            <a:ext uri="{FF2B5EF4-FFF2-40B4-BE49-F238E27FC236}">
              <a16:creationId xmlns:a16="http://schemas.microsoft.com/office/drawing/2014/main" id="{34F88C02-6AD7-46C1-A9A9-0CF0D964D5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76" name="Picture 2101" descr="spacer">
          <a:extLst>
            <a:ext uri="{FF2B5EF4-FFF2-40B4-BE49-F238E27FC236}">
              <a16:creationId xmlns:a16="http://schemas.microsoft.com/office/drawing/2014/main" id="{05406D25-56EC-48F0-939C-5DB09F3A8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77" name="Picture 2102" descr="spacer">
          <a:extLst>
            <a:ext uri="{FF2B5EF4-FFF2-40B4-BE49-F238E27FC236}">
              <a16:creationId xmlns:a16="http://schemas.microsoft.com/office/drawing/2014/main" id="{600EE952-B1E2-4055-AB85-2A30F4AB84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78" name="Picture 2103" descr="spacer">
          <a:extLst>
            <a:ext uri="{FF2B5EF4-FFF2-40B4-BE49-F238E27FC236}">
              <a16:creationId xmlns:a16="http://schemas.microsoft.com/office/drawing/2014/main" id="{C71D2E6C-27E4-4C76-9524-F55755725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79" name="Picture 2104" descr="spacer">
          <a:extLst>
            <a:ext uri="{FF2B5EF4-FFF2-40B4-BE49-F238E27FC236}">
              <a16:creationId xmlns:a16="http://schemas.microsoft.com/office/drawing/2014/main" id="{F224388D-DC09-4A3D-9BAF-D772A94FD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80" name="Picture 2105" descr="spacer">
          <a:extLst>
            <a:ext uri="{FF2B5EF4-FFF2-40B4-BE49-F238E27FC236}">
              <a16:creationId xmlns:a16="http://schemas.microsoft.com/office/drawing/2014/main" id="{9B75D512-D4D1-40A4-B78C-BA3F8B383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81" name="Picture 2106" descr="spacer">
          <a:extLst>
            <a:ext uri="{FF2B5EF4-FFF2-40B4-BE49-F238E27FC236}">
              <a16:creationId xmlns:a16="http://schemas.microsoft.com/office/drawing/2014/main" id="{D8D9C3BC-BD1B-48D3-91F4-41688ACDF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82" name="Picture 2107" descr="spacer">
          <a:extLst>
            <a:ext uri="{FF2B5EF4-FFF2-40B4-BE49-F238E27FC236}">
              <a16:creationId xmlns:a16="http://schemas.microsoft.com/office/drawing/2014/main" id="{FD7357A0-93F6-4AF2-BB29-EB9EC6587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83" name="Picture 2108" descr="spacer">
          <a:extLst>
            <a:ext uri="{FF2B5EF4-FFF2-40B4-BE49-F238E27FC236}">
              <a16:creationId xmlns:a16="http://schemas.microsoft.com/office/drawing/2014/main" id="{6F9E8B9C-F217-4553-B3FA-9079F65C5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84" name="Picture 2109" descr="spacer">
          <a:extLst>
            <a:ext uri="{FF2B5EF4-FFF2-40B4-BE49-F238E27FC236}">
              <a16:creationId xmlns:a16="http://schemas.microsoft.com/office/drawing/2014/main" id="{B35F691C-87B8-47EE-AB3D-813183F13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85" name="Picture 2110" descr="spacer">
          <a:extLst>
            <a:ext uri="{FF2B5EF4-FFF2-40B4-BE49-F238E27FC236}">
              <a16:creationId xmlns:a16="http://schemas.microsoft.com/office/drawing/2014/main" id="{E734043E-69E9-4122-B25B-345BAA1AE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086" name="Picture 2113" descr="spacer">
          <a:extLst>
            <a:ext uri="{FF2B5EF4-FFF2-40B4-BE49-F238E27FC236}">
              <a16:creationId xmlns:a16="http://schemas.microsoft.com/office/drawing/2014/main" id="{B70D70CD-49CE-40B5-80D8-2BB2C99D84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87" name="Picture 2115" descr="spacer">
          <a:extLst>
            <a:ext uri="{FF2B5EF4-FFF2-40B4-BE49-F238E27FC236}">
              <a16:creationId xmlns:a16="http://schemas.microsoft.com/office/drawing/2014/main" id="{DE9260E0-D749-4004-8E30-C0BBEE3B3A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88" name="Picture 2116" descr="spacer">
          <a:extLst>
            <a:ext uri="{FF2B5EF4-FFF2-40B4-BE49-F238E27FC236}">
              <a16:creationId xmlns:a16="http://schemas.microsoft.com/office/drawing/2014/main" id="{02336F52-50F6-48F0-A1A9-6747B3E5D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89" name="Picture 2117" descr="spacer">
          <a:extLst>
            <a:ext uri="{FF2B5EF4-FFF2-40B4-BE49-F238E27FC236}">
              <a16:creationId xmlns:a16="http://schemas.microsoft.com/office/drawing/2014/main" id="{18E6486F-D4C5-4512-B872-D40EF70F1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90" name="Picture 2118" descr="spacer">
          <a:extLst>
            <a:ext uri="{FF2B5EF4-FFF2-40B4-BE49-F238E27FC236}">
              <a16:creationId xmlns:a16="http://schemas.microsoft.com/office/drawing/2014/main" id="{CA9528CE-E223-44C9-97A4-E145E0828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91" name="Picture 2119" descr="spacer">
          <a:extLst>
            <a:ext uri="{FF2B5EF4-FFF2-40B4-BE49-F238E27FC236}">
              <a16:creationId xmlns:a16="http://schemas.microsoft.com/office/drawing/2014/main" id="{8B31F0EA-E8D5-4167-9977-D0555AF4C5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92" name="Picture 2120" descr="spacer">
          <a:extLst>
            <a:ext uri="{FF2B5EF4-FFF2-40B4-BE49-F238E27FC236}">
              <a16:creationId xmlns:a16="http://schemas.microsoft.com/office/drawing/2014/main" id="{FE24FCCC-B467-405E-B399-8AA6BCB37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93" name="Picture 2121" descr="spacer">
          <a:extLst>
            <a:ext uri="{FF2B5EF4-FFF2-40B4-BE49-F238E27FC236}">
              <a16:creationId xmlns:a16="http://schemas.microsoft.com/office/drawing/2014/main" id="{DFE84293-9AC2-489F-ACEA-49D45F679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94" name="Picture 2122" descr="spacer">
          <a:extLst>
            <a:ext uri="{FF2B5EF4-FFF2-40B4-BE49-F238E27FC236}">
              <a16:creationId xmlns:a16="http://schemas.microsoft.com/office/drawing/2014/main" id="{FE105A05-9A68-494A-9BD3-9926E35C5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95" name="Picture 2123" descr="spacer">
          <a:extLst>
            <a:ext uri="{FF2B5EF4-FFF2-40B4-BE49-F238E27FC236}">
              <a16:creationId xmlns:a16="http://schemas.microsoft.com/office/drawing/2014/main" id="{E3A57D3E-4D07-4CAC-A05B-3340F4ED7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96" name="Picture 2124" descr="spacer">
          <a:extLst>
            <a:ext uri="{FF2B5EF4-FFF2-40B4-BE49-F238E27FC236}">
              <a16:creationId xmlns:a16="http://schemas.microsoft.com/office/drawing/2014/main" id="{E4B73913-0012-4344-9F75-D79EE353A8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97" name="Picture 2125" descr="spacer">
          <a:extLst>
            <a:ext uri="{FF2B5EF4-FFF2-40B4-BE49-F238E27FC236}">
              <a16:creationId xmlns:a16="http://schemas.microsoft.com/office/drawing/2014/main" id="{E70C61D4-B9B4-4195-8CC5-F29AEE602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98" name="Picture 2126" descr="spacer">
          <a:extLst>
            <a:ext uri="{FF2B5EF4-FFF2-40B4-BE49-F238E27FC236}">
              <a16:creationId xmlns:a16="http://schemas.microsoft.com/office/drawing/2014/main" id="{7B6E507D-6BE4-4A28-AE84-9FA3F9DE7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099" name="Picture 2127" descr="spacer">
          <a:extLst>
            <a:ext uri="{FF2B5EF4-FFF2-40B4-BE49-F238E27FC236}">
              <a16:creationId xmlns:a16="http://schemas.microsoft.com/office/drawing/2014/main" id="{8F3F290D-E71F-409B-A2D3-1A1B6A79E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00" name="Picture 2128" descr="spacer">
          <a:extLst>
            <a:ext uri="{FF2B5EF4-FFF2-40B4-BE49-F238E27FC236}">
              <a16:creationId xmlns:a16="http://schemas.microsoft.com/office/drawing/2014/main" id="{C45D8E8D-4D7A-4830-A933-C33A7FDB5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101" name="Picture 2131" descr="spacer">
          <a:extLst>
            <a:ext uri="{FF2B5EF4-FFF2-40B4-BE49-F238E27FC236}">
              <a16:creationId xmlns:a16="http://schemas.microsoft.com/office/drawing/2014/main" id="{7036A3AC-AE4B-4311-94DA-E29984CB95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02" name="Picture 2133" descr="spacer">
          <a:extLst>
            <a:ext uri="{FF2B5EF4-FFF2-40B4-BE49-F238E27FC236}">
              <a16:creationId xmlns:a16="http://schemas.microsoft.com/office/drawing/2014/main" id="{F61B8D57-9C5E-4E62-AE22-AD37230ED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03" name="Picture 2134" descr="spacer">
          <a:extLst>
            <a:ext uri="{FF2B5EF4-FFF2-40B4-BE49-F238E27FC236}">
              <a16:creationId xmlns:a16="http://schemas.microsoft.com/office/drawing/2014/main" id="{9E53B7D5-295C-425E-9849-CAB779207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04" name="Picture 2135" descr="spacer">
          <a:extLst>
            <a:ext uri="{FF2B5EF4-FFF2-40B4-BE49-F238E27FC236}">
              <a16:creationId xmlns:a16="http://schemas.microsoft.com/office/drawing/2014/main" id="{66ACECA5-37A6-45AD-9F24-4A2911C7C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05" name="Picture 2136" descr="spacer">
          <a:extLst>
            <a:ext uri="{FF2B5EF4-FFF2-40B4-BE49-F238E27FC236}">
              <a16:creationId xmlns:a16="http://schemas.microsoft.com/office/drawing/2014/main" id="{4C4E27BB-1F89-48C5-95D4-F8916FE75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06" name="Picture 2137" descr="spacer">
          <a:extLst>
            <a:ext uri="{FF2B5EF4-FFF2-40B4-BE49-F238E27FC236}">
              <a16:creationId xmlns:a16="http://schemas.microsoft.com/office/drawing/2014/main" id="{05458720-EC03-40FF-9803-1FDAC1E0F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07" name="Picture 2138" descr="spacer">
          <a:extLst>
            <a:ext uri="{FF2B5EF4-FFF2-40B4-BE49-F238E27FC236}">
              <a16:creationId xmlns:a16="http://schemas.microsoft.com/office/drawing/2014/main" id="{3ACFCF4C-291A-4390-BA15-6B618C922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08" name="Picture 2139" descr="spacer">
          <a:extLst>
            <a:ext uri="{FF2B5EF4-FFF2-40B4-BE49-F238E27FC236}">
              <a16:creationId xmlns:a16="http://schemas.microsoft.com/office/drawing/2014/main" id="{F2078289-B34C-4E13-B8C6-78B80CCC1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09" name="Picture 2140" descr="spacer">
          <a:extLst>
            <a:ext uri="{FF2B5EF4-FFF2-40B4-BE49-F238E27FC236}">
              <a16:creationId xmlns:a16="http://schemas.microsoft.com/office/drawing/2014/main" id="{1EA00183-4693-4AED-8E3E-6C39AB167C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10" name="Picture 2141" descr="spacer">
          <a:extLst>
            <a:ext uri="{FF2B5EF4-FFF2-40B4-BE49-F238E27FC236}">
              <a16:creationId xmlns:a16="http://schemas.microsoft.com/office/drawing/2014/main" id="{BD5EFD6F-CE07-4117-9259-17CA1199D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11" name="Picture 2142" descr="spacer">
          <a:extLst>
            <a:ext uri="{FF2B5EF4-FFF2-40B4-BE49-F238E27FC236}">
              <a16:creationId xmlns:a16="http://schemas.microsoft.com/office/drawing/2014/main" id="{11B0C30A-72F3-42EF-AB9B-D8C430EC10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112" name="Picture 2145" descr="spacer">
          <a:extLst>
            <a:ext uri="{FF2B5EF4-FFF2-40B4-BE49-F238E27FC236}">
              <a16:creationId xmlns:a16="http://schemas.microsoft.com/office/drawing/2014/main" id="{53FBDD40-72D4-422F-802F-F8CDA95D2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13" name="Picture 2147" descr="spacer">
          <a:extLst>
            <a:ext uri="{FF2B5EF4-FFF2-40B4-BE49-F238E27FC236}">
              <a16:creationId xmlns:a16="http://schemas.microsoft.com/office/drawing/2014/main" id="{5436E854-02ED-437D-974A-3F1D2D81BF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14" name="Picture 2148" descr="spacer">
          <a:extLst>
            <a:ext uri="{FF2B5EF4-FFF2-40B4-BE49-F238E27FC236}">
              <a16:creationId xmlns:a16="http://schemas.microsoft.com/office/drawing/2014/main" id="{02D90BD4-68EA-4FE4-B5DD-F652BCFAE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15" name="Picture 2149" descr="spacer">
          <a:extLst>
            <a:ext uri="{FF2B5EF4-FFF2-40B4-BE49-F238E27FC236}">
              <a16:creationId xmlns:a16="http://schemas.microsoft.com/office/drawing/2014/main" id="{82E89600-CD5B-40FC-AE22-50B6122F53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16" name="Picture 2150" descr="spacer">
          <a:extLst>
            <a:ext uri="{FF2B5EF4-FFF2-40B4-BE49-F238E27FC236}">
              <a16:creationId xmlns:a16="http://schemas.microsoft.com/office/drawing/2014/main" id="{2B8E2CAF-1560-40A5-AD10-259DE6E018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17" name="Picture 2151" descr="spacer">
          <a:extLst>
            <a:ext uri="{FF2B5EF4-FFF2-40B4-BE49-F238E27FC236}">
              <a16:creationId xmlns:a16="http://schemas.microsoft.com/office/drawing/2014/main" id="{9B208112-CA70-4EDE-A1A5-BC407A519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18" name="Picture 2152" descr="spacer">
          <a:extLst>
            <a:ext uri="{FF2B5EF4-FFF2-40B4-BE49-F238E27FC236}">
              <a16:creationId xmlns:a16="http://schemas.microsoft.com/office/drawing/2014/main" id="{8F9B3C1F-518F-4914-867E-D7F123A81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19" name="Picture 2153" descr="spacer">
          <a:extLst>
            <a:ext uri="{FF2B5EF4-FFF2-40B4-BE49-F238E27FC236}">
              <a16:creationId xmlns:a16="http://schemas.microsoft.com/office/drawing/2014/main" id="{B98ED419-23B5-48D5-87B5-D582BAA4A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20" name="Picture 2154" descr="spacer">
          <a:extLst>
            <a:ext uri="{FF2B5EF4-FFF2-40B4-BE49-F238E27FC236}">
              <a16:creationId xmlns:a16="http://schemas.microsoft.com/office/drawing/2014/main" id="{96AF53E9-D9A5-4C6A-AEA0-704DE4F8E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21" name="Picture 2155" descr="spacer">
          <a:extLst>
            <a:ext uri="{FF2B5EF4-FFF2-40B4-BE49-F238E27FC236}">
              <a16:creationId xmlns:a16="http://schemas.microsoft.com/office/drawing/2014/main" id="{AD7D2959-7C0A-436E-AE02-A5A89733C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22" name="Picture 2156" descr="spacer">
          <a:extLst>
            <a:ext uri="{FF2B5EF4-FFF2-40B4-BE49-F238E27FC236}">
              <a16:creationId xmlns:a16="http://schemas.microsoft.com/office/drawing/2014/main" id="{2D0A17E5-9ECD-4AD8-9AC9-A256746419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23" name="Picture 2157" descr="spacer">
          <a:extLst>
            <a:ext uri="{FF2B5EF4-FFF2-40B4-BE49-F238E27FC236}">
              <a16:creationId xmlns:a16="http://schemas.microsoft.com/office/drawing/2014/main" id="{BAE52D71-FAEB-4DD1-8F77-F0386B9B7D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24" name="Picture 2158" descr="spacer">
          <a:extLst>
            <a:ext uri="{FF2B5EF4-FFF2-40B4-BE49-F238E27FC236}">
              <a16:creationId xmlns:a16="http://schemas.microsoft.com/office/drawing/2014/main" id="{CB0F172C-4E50-4297-BCE6-35A0BF397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25" name="Picture 2159" descr="spacer">
          <a:extLst>
            <a:ext uri="{FF2B5EF4-FFF2-40B4-BE49-F238E27FC236}">
              <a16:creationId xmlns:a16="http://schemas.microsoft.com/office/drawing/2014/main" id="{0ED15FA9-694C-4427-9C20-A1E693222E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26" name="Picture 2160" descr="spacer">
          <a:extLst>
            <a:ext uri="{FF2B5EF4-FFF2-40B4-BE49-F238E27FC236}">
              <a16:creationId xmlns:a16="http://schemas.microsoft.com/office/drawing/2014/main" id="{2025B1E6-765E-42E8-BBDD-E2D20A171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127" name="Picture 2163" descr="spacer">
          <a:extLst>
            <a:ext uri="{FF2B5EF4-FFF2-40B4-BE49-F238E27FC236}">
              <a16:creationId xmlns:a16="http://schemas.microsoft.com/office/drawing/2014/main" id="{0F4250F3-3B65-46C1-8487-D11823B08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28" name="Picture 2165" descr="spacer">
          <a:extLst>
            <a:ext uri="{FF2B5EF4-FFF2-40B4-BE49-F238E27FC236}">
              <a16:creationId xmlns:a16="http://schemas.microsoft.com/office/drawing/2014/main" id="{2ACF6A39-A20E-4C76-B9B7-9F0176FB3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29" name="Picture 2166" descr="spacer">
          <a:extLst>
            <a:ext uri="{FF2B5EF4-FFF2-40B4-BE49-F238E27FC236}">
              <a16:creationId xmlns:a16="http://schemas.microsoft.com/office/drawing/2014/main" id="{AB17CF47-8751-4763-8F59-C87D62F63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30" name="Picture 2167" descr="spacer">
          <a:extLst>
            <a:ext uri="{FF2B5EF4-FFF2-40B4-BE49-F238E27FC236}">
              <a16:creationId xmlns:a16="http://schemas.microsoft.com/office/drawing/2014/main" id="{8B9E7E29-F723-422A-9373-A8A9DEDE69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31" name="Picture 2168" descr="spacer">
          <a:extLst>
            <a:ext uri="{FF2B5EF4-FFF2-40B4-BE49-F238E27FC236}">
              <a16:creationId xmlns:a16="http://schemas.microsoft.com/office/drawing/2014/main" id="{6BB50732-84BE-4E84-B732-4856E50CE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32" name="Picture 2169" descr="spacer">
          <a:extLst>
            <a:ext uri="{FF2B5EF4-FFF2-40B4-BE49-F238E27FC236}">
              <a16:creationId xmlns:a16="http://schemas.microsoft.com/office/drawing/2014/main" id="{61AA48D4-D576-47E8-B3DD-4A41B51C7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33" name="Picture 2170" descr="spacer">
          <a:extLst>
            <a:ext uri="{FF2B5EF4-FFF2-40B4-BE49-F238E27FC236}">
              <a16:creationId xmlns:a16="http://schemas.microsoft.com/office/drawing/2014/main" id="{AB6E7517-7AD2-4FAD-9F7C-B04C8F578F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34" name="Picture 2171" descr="spacer">
          <a:extLst>
            <a:ext uri="{FF2B5EF4-FFF2-40B4-BE49-F238E27FC236}">
              <a16:creationId xmlns:a16="http://schemas.microsoft.com/office/drawing/2014/main" id="{5AED568A-BA12-4450-9102-8C9FDB193B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35" name="Picture 2172" descr="spacer">
          <a:extLst>
            <a:ext uri="{FF2B5EF4-FFF2-40B4-BE49-F238E27FC236}">
              <a16:creationId xmlns:a16="http://schemas.microsoft.com/office/drawing/2014/main" id="{5343B175-D845-4D74-A162-196B4A8BA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36" name="Picture 2173" descr="spacer">
          <a:extLst>
            <a:ext uri="{FF2B5EF4-FFF2-40B4-BE49-F238E27FC236}">
              <a16:creationId xmlns:a16="http://schemas.microsoft.com/office/drawing/2014/main" id="{0F8E3179-EC53-421D-A4C6-C26560A515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37" name="Picture 2174" descr="spacer">
          <a:extLst>
            <a:ext uri="{FF2B5EF4-FFF2-40B4-BE49-F238E27FC236}">
              <a16:creationId xmlns:a16="http://schemas.microsoft.com/office/drawing/2014/main" id="{6F8E50AF-6663-4AD6-BB51-296D37E57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38" name="Picture 2175" descr="spacer">
          <a:extLst>
            <a:ext uri="{FF2B5EF4-FFF2-40B4-BE49-F238E27FC236}">
              <a16:creationId xmlns:a16="http://schemas.microsoft.com/office/drawing/2014/main" id="{E598749A-317E-41C9-A2FC-88C09B674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39" name="Picture 2176" descr="spacer">
          <a:extLst>
            <a:ext uri="{FF2B5EF4-FFF2-40B4-BE49-F238E27FC236}">
              <a16:creationId xmlns:a16="http://schemas.microsoft.com/office/drawing/2014/main" id="{23BA9316-775E-46DE-A12A-26EC0D888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40" name="Picture 2177" descr="spacer">
          <a:extLst>
            <a:ext uri="{FF2B5EF4-FFF2-40B4-BE49-F238E27FC236}">
              <a16:creationId xmlns:a16="http://schemas.microsoft.com/office/drawing/2014/main" id="{CABECBC1-4DE2-4CFE-9125-3F5BDA6095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41" name="Picture 2178" descr="spacer">
          <a:extLst>
            <a:ext uri="{FF2B5EF4-FFF2-40B4-BE49-F238E27FC236}">
              <a16:creationId xmlns:a16="http://schemas.microsoft.com/office/drawing/2014/main" id="{AD8C20F2-62F4-4A0B-9E7D-84EA04EC4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142" name="Picture 2181" descr="spacer">
          <a:extLst>
            <a:ext uri="{FF2B5EF4-FFF2-40B4-BE49-F238E27FC236}">
              <a16:creationId xmlns:a16="http://schemas.microsoft.com/office/drawing/2014/main" id="{0C18AD73-0A9D-4492-A7C5-C02DD1DE5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43" name="Picture 2183" descr="spacer">
          <a:extLst>
            <a:ext uri="{FF2B5EF4-FFF2-40B4-BE49-F238E27FC236}">
              <a16:creationId xmlns:a16="http://schemas.microsoft.com/office/drawing/2014/main" id="{55309D0D-9DB3-403C-82C5-ACFCCFD5CD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44" name="Picture 2184" descr="spacer">
          <a:extLst>
            <a:ext uri="{FF2B5EF4-FFF2-40B4-BE49-F238E27FC236}">
              <a16:creationId xmlns:a16="http://schemas.microsoft.com/office/drawing/2014/main" id="{1A88AC07-879F-428D-A434-70F2C0B4E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45" name="Picture 2185" descr="spacer">
          <a:extLst>
            <a:ext uri="{FF2B5EF4-FFF2-40B4-BE49-F238E27FC236}">
              <a16:creationId xmlns:a16="http://schemas.microsoft.com/office/drawing/2014/main" id="{A1617448-AFA6-4856-8F86-A2EE076A3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46" name="Picture 2186" descr="spacer">
          <a:extLst>
            <a:ext uri="{FF2B5EF4-FFF2-40B4-BE49-F238E27FC236}">
              <a16:creationId xmlns:a16="http://schemas.microsoft.com/office/drawing/2014/main" id="{F831DE50-B901-46EF-B718-C2F0CB3E5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47" name="Picture 2187" descr="spacer">
          <a:extLst>
            <a:ext uri="{FF2B5EF4-FFF2-40B4-BE49-F238E27FC236}">
              <a16:creationId xmlns:a16="http://schemas.microsoft.com/office/drawing/2014/main" id="{855530CD-C4CD-4079-A2BB-D29FDE9551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48" name="Picture 2188" descr="spacer">
          <a:extLst>
            <a:ext uri="{FF2B5EF4-FFF2-40B4-BE49-F238E27FC236}">
              <a16:creationId xmlns:a16="http://schemas.microsoft.com/office/drawing/2014/main" id="{AC17ABFA-E076-48A2-BB54-B0000C5133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49" name="Picture 2189" descr="spacer">
          <a:extLst>
            <a:ext uri="{FF2B5EF4-FFF2-40B4-BE49-F238E27FC236}">
              <a16:creationId xmlns:a16="http://schemas.microsoft.com/office/drawing/2014/main" id="{4F5248E7-9659-422C-A612-1B5E993AC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50" name="Picture 2190" descr="spacer">
          <a:extLst>
            <a:ext uri="{FF2B5EF4-FFF2-40B4-BE49-F238E27FC236}">
              <a16:creationId xmlns:a16="http://schemas.microsoft.com/office/drawing/2014/main" id="{A0DADBF4-0191-48A0-A779-589611BB2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51" name="Picture 2191" descr="spacer">
          <a:extLst>
            <a:ext uri="{FF2B5EF4-FFF2-40B4-BE49-F238E27FC236}">
              <a16:creationId xmlns:a16="http://schemas.microsoft.com/office/drawing/2014/main" id="{F779BE41-1F8C-47D7-B691-8684C23C7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52" name="Picture 2192" descr="spacer">
          <a:extLst>
            <a:ext uri="{FF2B5EF4-FFF2-40B4-BE49-F238E27FC236}">
              <a16:creationId xmlns:a16="http://schemas.microsoft.com/office/drawing/2014/main" id="{93DBA851-5C40-48BB-A019-6DA96D9F0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53" name="Picture 2193" descr="spacer">
          <a:extLst>
            <a:ext uri="{FF2B5EF4-FFF2-40B4-BE49-F238E27FC236}">
              <a16:creationId xmlns:a16="http://schemas.microsoft.com/office/drawing/2014/main" id="{26C143F0-45C2-41F9-8E0F-6FD456D93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54" name="Picture 2194" descr="spacer">
          <a:extLst>
            <a:ext uri="{FF2B5EF4-FFF2-40B4-BE49-F238E27FC236}">
              <a16:creationId xmlns:a16="http://schemas.microsoft.com/office/drawing/2014/main" id="{820EC7FF-D409-46CD-9435-DADC5E19F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55" name="Picture 2195" descr="spacer">
          <a:extLst>
            <a:ext uri="{FF2B5EF4-FFF2-40B4-BE49-F238E27FC236}">
              <a16:creationId xmlns:a16="http://schemas.microsoft.com/office/drawing/2014/main" id="{AE508224-8EA9-4BE5-A7CB-F7866C447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156" name="Picture 2198" descr="spacer">
          <a:extLst>
            <a:ext uri="{FF2B5EF4-FFF2-40B4-BE49-F238E27FC236}">
              <a16:creationId xmlns:a16="http://schemas.microsoft.com/office/drawing/2014/main" id="{4EB88C72-B77F-4978-BDB6-7BF7B9D0F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57" name="Picture 2200" descr="spacer">
          <a:extLst>
            <a:ext uri="{FF2B5EF4-FFF2-40B4-BE49-F238E27FC236}">
              <a16:creationId xmlns:a16="http://schemas.microsoft.com/office/drawing/2014/main" id="{4D51DD72-6ED8-4F63-B263-5007E0670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58" name="Picture 2201" descr="spacer">
          <a:extLst>
            <a:ext uri="{FF2B5EF4-FFF2-40B4-BE49-F238E27FC236}">
              <a16:creationId xmlns:a16="http://schemas.microsoft.com/office/drawing/2014/main" id="{2BA8E09F-1269-43A9-8F75-783BCD89E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59" name="Picture 2202" descr="spacer">
          <a:extLst>
            <a:ext uri="{FF2B5EF4-FFF2-40B4-BE49-F238E27FC236}">
              <a16:creationId xmlns:a16="http://schemas.microsoft.com/office/drawing/2014/main" id="{5F0F2801-C8C0-4133-8258-A57678F57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60" name="Picture 2203" descr="spacer">
          <a:extLst>
            <a:ext uri="{FF2B5EF4-FFF2-40B4-BE49-F238E27FC236}">
              <a16:creationId xmlns:a16="http://schemas.microsoft.com/office/drawing/2014/main" id="{0EFC8B30-232C-483D-B959-F0FA926E07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61" name="Picture 2204" descr="spacer">
          <a:extLst>
            <a:ext uri="{FF2B5EF4-FFF2-40B4-BE49-F238E27FC236}">
              <a16:creationId xmlns:a16="http://schemas.microsoft.com/office/drawing/2014/main" id="{9487E898-8034-49E1-9DED-DBD6421DA6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62" name="Picture 2205" descr="spacer">
          <a:extLst>
            <a:ext uri="{FF2B5EF4-FFF2-40B4-BE49-F238E27FC236}">
              <a16:creationId xmlns:a16="http://schemas.microsoft.com/office/drawing/2014/main" id="{2B45FCF1-DDFB-4C49-BF0C-9DE1E45E9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63" name="Picture 2206" descr="spacer">
          <a:extLst>
            <a:ext uri="{FF2B5EF4-FFF2-40B4-BE49-F238E27FC236}">
              <a16:creationId xmlns:a16="http://schemas.microsoft.com/office/drawing/2014/main" id="{B72252BB-9D44-4A0B-8F84-4FD22DEF8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64" name="Picture 2207" descr="spacer">
          <a:extLst>
            <a:ext uri="{FF2B5EF4-FFF2-40B4-BE49-F238E27FC236}">
              <a16:creationId xmlns:a16="http://schemas.microsoft.com/office/drawing/2014/main" id="{F1C0A0E5-6168-461F-AA88-ABEC39A8B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65" name="Picture 2208" descr="spacer">
          <a:extLst>
            <a:ext uri="{FF2B5EF4-FFF2-40B4-BE49-F238E27FC236}">
              <a16:creationId xmlns:a16="http://schemas.microsoft.com/office/drawing/2014/main" id="{81AC0F7B-D876-4267-88D1-BE8DF05D5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66" name="Picture 2209" descr="spacer">
          <a:extLst>
            <a:ext uri="{FF2B5EF4-FFF2-40B4-BE49-F238E27FC236}">
              <a16:creationId xmlns:a16="http://schemas.microsoft.com/office/drawing/2014/main" id="{7A4040B8-E379-465A-8012-4F02B8304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67" name="Picture 2210" descr="spacer">
          <a:extLst>
            <a:ext uri="{FF2B5EF4-FFF2-40B4-BE49-F238E27FC236}">
              <a16:creationId xmlns:a16="http://schemas.microsoft.com/office/drawing/2014/main" id="{951055AB-9B03-473B-8E22-4C47AB7FB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68" name="Picture 2211" descr="spacer">
          <a:extLst>
            <a:ext uri="{FF2B5EF4-FFF2-40B4-BE49-F238E27FC236}">
              <a16:creationId xmlns:a16="http://schemas.microsoft.com/office/drawing/2014/main" id="{6DD5D099-056F-4969-90AF-30D07A87B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69" name="Picture 2212" descr="spacer">
          <a:extLst>
            <a:ext uri="{FF2B5EF4-FFF2-40B4-BE49-F238E27FC236}">
              <a16:creationId xmlns:a16="http://schemas.microsoft.com/office/drawing/2014/main" id="{051B50E0-77ED-42CE-8D6A-A00A56612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70" name="Picture 2213" descr="spacer">
          <a:extLst>
            <a:ext uri="{FF2B5EF4-FFF2-40B4-BE49-F238E27FC236}">
              <a16:creationId xmlns:a16="http://schemas.microsoft.com/office/drawing/2014/main" id="{310B8E84-243E-4E70-A486-FEB515E61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171" name="Picture 2216" descr="spacer">
          <a:extLst>
            <a:ext uri="{FF2B5EF4-FFF2-40B4-BE49-F238E27FC236}">
              <a16:creationId xmlns:a16="http://schemas.microsoft.com/office/drawing/2014/main" id="{2EB757D8-AB7C-4F27-A2E9-E37C5DE2A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72" name="Picture 2218" descr="spacer">
          <a:extLst>
            <a:ext uri="{FF2B5EF4-FFF2-40B4-BE49-F238E27FC236}">
              <a16:creationId xmlns:a16="http://schemas.microsoft.com/office/drawing/2014/main" id="{C25361CC-B870-483F-98E1-AAE536AF1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73" name="Picture 2219" descr="spacer">
          <a:extLst>
            <a:ext uri="{FF2B5EF4-FFF2-40B4-BE49-F238E27FC236}">
              <a16:creationId xmlns:a16="http://schemas.microsoft.com/office/drawing/2014/main" id="{78B541E3-25D9-4D65-A8E1-C75E3BE9E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74" name="Picture 2220" descr="spacer">
          <a:extLst>
            <a:ext uri="{FF2B5EF4-FFF2-40B4-BE49-F238E27FC236}">
              <a16:creationId xmlns:a16="http://schemas.microsoft.com/office/drawing/2014/main" id="{6CEFCDC0-02B7-425C-AB3F-2426B879D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75" name="Picture 2221" descr="spacer">
          <a:extLst>
            <a:ext uri="{FF2B5EF4-FFF2-40B4-BE49-F238E27FC236}">
              <a16:creationId xmlns:a16="http://schemas.microsoft.com/office/drawing/2014/main" id="{1CDBDEA3-33C0-40FA-89BF-60215B00C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76" name="Picture 2222" descr="spacer">
          <a:extLst>
            <a:ext uri="{FF2B5EF4-FFF2-40B4-BE49-F238E27FC236}">
              <a16:creationId xmlns:a16="http://schemas.microsoft.com/office/drawing/2014/main" id="{E14A3D99-1422-4F9F-8D20-0FE3F04D7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77" name="Picture 2223" descr="spacer">
          <a:extLst>
            <a:ext uri="{FF2B5EF4-FFF2-40B4-BE49-F238E27FC236}">
              <a16:creationId xmlns:a16="http://schemas.microsoft.com/office/drawing/2014/main" id="{4E943233-7527-42DC-932F-11E961DE4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78" name="Picture 2224" descr="spacer">
          <a:extLst>
            <a:ext uri="{FF2B5EF4-FFF2-40B4-BE49-F238E27FC236}">
              <a16:creationId xmlns:a16="http://schemas.microsoft.com/office/drawing/2014/main" id="{1FDBF787-0681-4BF8-97BD-9E458EBA6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79" name="Picture 2225" descr="spacer">
          <a:extLst>
            <a:ext uri="{FF2B5EF4-FFF2-40B4-BE49-F238E27FC236}">
              <a16:creationId xmlns:a16="http://schemas.microsoft.com/office/drawing/2014/main" id="{D5EB2653-D5AE-40A9-A31C-B6AB08C24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80" name="Picture 2226" descr="spacer">
          <a:extLst>
            <a:ext uri="{FF2B5EF4-FFF2-40B4-BE49-F238E27FC236}">
              <a16:creationId xmlns:a16="http://schemas.microsoft.com/office/drawing/2014/main" id="{886D46A0-6764-49D5-8178-AE3493A8E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81" name="Picture 2227" descr="spacer">
          <a:extLst>
            <a:ext uri="{FF2B5EF4-FFF2-40B4-BE49-F238E27FC236}">
              <a16:creationId xmlns:a16="http://schemas.microsoft.com/office/drawing/2014/main" id="{602AB636-220B-405B-8135-67915823E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82" name="Picture 2228" descr="spacer">
          <a:extLst>
            <a:ext uri="{FF2B5EF4-FFF2-40B4-BE49-F238E27FC236}">
              <a16:creationId xmlns:a16="http://schemas.microsoft.com/office/drawing/2014/main" id="{57257DAF-8054-438A-A4B9-A4B5D82E2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83" name="Picture 2229" descr="spacer">
          <a:extLst>
            <a:ext uri="{FF2B5EF4-FFF2-40B4-BE49-F238E27FC236}">
              <a16:creationId xmlns:a16="http://schemas.microsoft.com/office/drawing/2014/main" id="{80E53E89-09C8-4872-9225-5BD4C9BC40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84" name="Picture 2230" descr="spacer">
          <a:extLst>
            <a:ext uri="{FF2B5EF4-FFF2-40B4-BE49-F238E27FC236}">
              <a16:creationId xmlns:a16="http://schemas.microsoft.com/office/drawing/2014/main" id="{E8B1069C-E1C6-41ED-BA5E-78ED05C08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85" name="Picture 2231" descr="spacer">
          <a:extLst>
            <a:ext uri="{FF2B5EF4-FFF2-40B4-BE49-F238E27FC236}">
              <a16:creationId xmlns:a16="http://schemas.microsoft.com/office/drawing/2014/main" id="{EA142FCE-3B7E-4757-B64D-CC1D9F549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186" name="Picture 2234" descr="spacer">
          <a:extLst>
            <a:ext uri="{FF2B5EF4-FFF2-40B4-BE49-F238E27FC236}">
              <a16:creationId xmlns:a16="http://schemas.microsoft.com/office/drawing/2014/main" id="{E12AF55E-328D-49D8-B50B-5FE9F2579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87" name="Picture 2236" descr="spacer">
          <a:extLst>
            <a:ext uri="{FF2B5EF4-FFF2-40B4-BE49-F238E27FC236}">
              <a16:creationId xmlns:a16="http://schemas.microsoft.com/office/drawing/2014/main" id="{7C30C928-2570-4463-AE54-8C167ED58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88" name="Picture 2237" descr="spacer">
          <a:extLst>
            <a:ext uri="{FF2B5EF4-FFF2-40B4-BE49-F238E27FC236}">
              <a16:creationId xmlns:a16="http://schemas.microsoft.com/office/drawing/2014/main" id="{CEE1FF99-40B5-4496-8B2B-ACE69E5E7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89" name="Picture 2238" descr="spacer">
          <a:extLst>
            <a:ext uri="{FF2B5EF4-FFF2-40B4-BE49-F238E27FC236}">
              <a16:creationId xmlns:a16="http://schemas.microsoft.com/office/drawing/2014/main" id="{C6534533-7B58-4135-8A6B-237EDCFD7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90" name="Picture 2239" descr="spacer">
          <a:extLst>
            <a:ext uri="{FF2B5EF4-FFF2-40B4-BE49-F238E27FC236}">
              <a16:creationId xmlns:a16="http://schemas.microsoft.com/office/drawing/2014/main" id="{2BA54536-7F86-4261-841A-9BB0F2D27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91" name="Picture 2240" descr="spacer">
          <a:extLst>
            <a:ext uri="{FF2B5EF4-FFF2-40B4-BE49-F238E27FC236}">
              <a16:creationId xmlns:a16="http://schemas.microsoft.com/office/drawing/2014/main" id="{DED5F6B5-F9EB-4386-80CB-CE3C6814C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92" name="Picture 2241" descr="spacer">
          <a:extLst>
            <a:ext uri="{FF2B5EF4-FFF2-40B4-BE49-F238E27FC236}">
              <a16:creationId xmlns:a16="http://schemas.microsoft.com/office/drawing/2014/main" id="{8CE1F9F1-17DC-425D-BF99-8D16F4BA0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93" name="Picture 2242" descr="spacer">
          <a:extLst>
            <a:ext uri="{FF2B5EF4-FFF2-40B4-BE49-F238E27FC236}">
              <a16:creationId xmlns:a16="http://schemas.microsoft.com/office/drawing/2014/main" id="{FCBB797C-2E68-4AE1-9F0D-4E226B35D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94" name="Picture 2243" descr="spacer">
          <a:extLst>
            <a:ext uri="{FF2B5EF4-FFF2-40B4-BE49-F238E27FC236}">
              <a16:creationId xmlns:a16="http://schemas.microsoft.com/office/drawing/2014/main" id="{6599541D-3950-48A1-B637-4EA97E181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95" name="Picture 2244" descr="spacer">
          <a:extLst>
            <a:ext uri="{FF2B5EF4-FFF2-40B4-BE49-F238E27FC236}">
              <a16:creationId xmlns:a16="http://schemas.microsoft.com/office/drawing/2014/main" id="{2E68502A-1C2E-41A2-83CF-3852DF5D6D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96" name="Picture 2245" descr="spacer">
          <a:extLst>
            <a:ext uri="{FF2B5EF4-FFF2-40B4-BE49-F238E27FC236}">
              <a16:creationId xmlns:a16="http://schemas.microsoft.com/office/drawing/2014/main" id="{51892B6E-F081-454A-BB38-590930DE3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97" name="Picture 2246" descr="spacer">
          <a:extLst>
            <a:ext uri="{FF2B5EF4-FFF2-40B4-BE49-F238E27FC236}">
              <a16:creationId xmlns:a16="http://schemas.microsoft.com/office/drawing/2014/main" id="{F2067475-9BA8-449F-8DF4-E32CE7EE52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98" name="Picture 2247" descr="spacer">
          <a:extLst>
            <a:ext uri="{FF2B5EF4-FFF2-40B4-BE49-F238E27FC236}">
              <a16:creationId xmlns:a16="http://schemas.microsoft.com/office/drawing/2014/main" id="{C872B721-3286-41C4-9A97-5C57CB095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199" name="Picture 2248" descr="spacer">
          <a:extLst>
            <a:ext uri="{FF2B5EF4-FFF2-40B4-BE49-F238E27FC236}">
              <a16:creationId xmlns:a16="http://schemas.microsoft.com/office/drawing/2014/main" id="{710A29CC-F112-46B3-88FC-F5F5C9AE02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200" name="Picture 2251" descr="spacer">
          <a:extLst>
            <a:ext uri="{FF2B5EF4-FFF2-40B4-BE49-F238E27FC236}">
              <a16:creationId xmlns:a16="http://schemas.microsoft.com/office/drawing/2014/main" id="{B0332295-8EDA-4519-9DF0-B4E1D7E3FA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01" name="Picture 2253" descr="spacer">
          <a:extLst>
            <a:ext uri="{FF2B5EF4-FFF2-40B4-BE49-F238E27FC236}">
              <a16:creationId xmlns:a16="http://schemas.microsoft.com/office/drawing/2014/main" id="{1D78173D-68E0-45FB-97E2-E9CDC2BB0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02" name="Picture 2254" descr="spacer">
          <a:extLst>
            <a:ext uri="{FF2B5EF4-FFF2-40B4-BE49-F238E27FC236}">
              <a16:creationId xmlns:a16="http://schemas.microsoft.com/office/drawing/2014/main" id="{A2AFCB1A-4F95-41AD-AAE2-AC699A1C8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03" name="Picture 2255" descr="spacer">
          <a:extLst>
            <a:ext uri="{FF2B5EF4-FFF2-40B4-BE49-F238E27FC236}">
              <a16:creationId xmlns:a16="http://schemas.microsoft.com/office/drawing/2014/main" id="{A13B293F-8477-4F81-8658-538D1BBE8A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04" name="Picture 2256" descr="spacer">
          <a:extLst>
            <a:ext uri="{FF2B5EF4-FFF2-40B4-BE49-F238E27FC236}">
              <a16:creationId xmlns:a16="http://schemas.microsoft.com/office/drawing/2014/main" id="{BFFEECAA-1644-4A70-9F2B-7D6D98F3E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05" name="Picture 2257" descr="spacer">
          <a:extLst>
            <a:ext uri="{FF2B5EF4-FFF2-40B4-BE49-F238E27FC236}">
              <a16:creationId xmlns:a16="http://schemas.microsoft.com/office/drawing/2014/main" id="{7065C9C5-5CAC-445A-9308-6DF0BE365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06" name="Picture 2258" descr="spacer">
          <a:extLst>
            <a:ext uri="{FF2B5EF4-FFF2-40B4-BE49-F238E27FC236}">
              <a16:creationId xmlns:a16="http://schemas.microsoft.com/office/drawing/2014/main" id="{33565836-84AD-42E7-8ED7-027BAE7E3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07" name="Picture 2259" descr="spacer">
          <a:extLst>
            <a:ext uri="{FF2B5EF4-FFF2-40B4-BE49-F238E27FC236}">
              <a16:creationId xmlns:a16="http://schemas.microsoft.com/office/drawing/2014/main" id="{40867EA3-C7F4-405E-9665-EBBA580DC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08" name="Picture 2260" descr="spacer">
          <a:extLst>
            <a:ext uri="{FF2B5EF4-FFF2-40B4-BE49-F238E27FC236}">
              <a16:creationId xmlns:a16="http://schemas.microsoft.com/office/drawing/2014/main" id="{0C4E029D-F97C-4E5F-80F4-01F9C5EE8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09" name="Picture 2261" descr="spacer">
          <a:extLst>
            <a:ext uri="{FF2B5EF4-FFF2-40B4-BE49-F238E27FC236}">
              <a16:creationId xmlns:a16="http://schemas.microsoft.com/office/drawing/2014/main" id="{952E37DD-2263-47F8-BE66-983A5AED2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10" name="Picture 2262" descr="spacer">
          <a:extLst>
            <a:ext uri="{FF2B5EF4-FFF2-40B4-BE49-F238E27FC236}">
              <a16:creationId xmlns:a16="http://schemas.microsoft.com/office/drawing/2014/main" id="{E3F50BE9-F4F4-42CD-BA08-7EFF0437F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11" name="Picture 2263" descr="spacer">
          <a:extLst>
            <a:ext uri="{FF2B5EF4-FFF2-40B4-BE49-F238E27FC236}">
              <a16:creationId xmlns:a16="http://schemas.microsoft.com/office/drawing/2014/main" id="{78887136-2134-4D29-A2DA-93902702B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12" name="Picture 2264" descr="spacer">
          <a:extLst>
            <a:ext uri="{FF2B5EF4-FFF2-40B4-BE49-F238E27FC236}">
              <a16:creationId xmlns:a16="http://schemas.microsoft.com/office/drawing/2014/main" id="{32512A9D-F366-421E-81CA-C9F305A23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13" name="Picture 2265" descr="spacer">
          <a:extLst>
            <a:ext uri="{FF2B5EF4-FFF2-40B4-BE49-F238E27FC236}">
              <a16:creationId xmlns:a16="http://schemas.microsoft.com/office/drawing/2014/main" id="{7A8A34BD-9F24-40C4-A4C7-4FF97C241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214" name="Picture 2268" descr="spacer">
          <a:extLst>
            <a:ext uri="{FF2B5EF4-FFF2-40B4-BE49-F238E27FC236}">
              <a16:creationId xmlns:a16="http://schemas.microsoft.com/office/drawing/2014/main" id="{4626DAD5-A485-4148-A1B7-D090C3E52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15" name="Picture 2270" descr="spacer">
          <a:extLst>
            <a:ext uri="{FF2B5EF4-FFF2-40B4-BE49-F238E27FC236}">
              <a16:creationId xmlns:a16="http://schemas.microsoft.com/office/drawing/2014/main" id="{182E8084-69A1-4303-92D4-649A2EB8D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16" name="Picture 2271" descr="spacer">
          <a:extLst>
            <a:ext uri="{FF2B5EF4-FFF2-40B4-BE49-F238E27FC236}">
              <a16:creationId xmlns:a16="http://schemas.microsoft.com/office/drawing/2014/main" id="{969DFD00-A0DF-489E-B8FA-E5F5D031E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17" name="Picture 2272" descr="spacer">
          <a:extLst>
            <a:ext uri="{FF2B5EF4-FFF2-40B4-BE49-F238E27FC236}">
              <a16:creationId xmlns:a16="http://schemas.microsoft.com/office/drawing/2014/main" id="{72A4BDBF-3073-42E1-ACFD-25109E525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18" name="Picture 2273" descr="spacer">
          <a:extLst>
            <a:ext uri="{FF2B5EF4-FFF2-40B4-BE49-F238E27FC236}">
              <a16:creationId xmlns:a16="http://schemas.microsoft.com/office/drawing/2014/main" id="{9FCF35F9-2371-45AF-8522-B8E97FB67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19" name="Picture 2274" descr="spacer">
          <a:extLst>
            <a:ext uri="{FF2B5EF4-FFF2-40B4-BE49-F238E27FC236}">
              <a16:creationId xmlns:a16="http://schemas.microsoft.com/office/drawing/2014/main" id="{6AB61863-5FFC-43D2-95CE-DC5A4A8C48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20" name="Picture 2275" descr="spacer">
          <a:extLst>
            <a:ext uri="{FF2B5EF4-FFF2-40B4-BE49-F238E27FC236}">
              <a16:creationId xmlns:a16="http://schemas.microsoft.com/office/drawing/2014/main" id="{815F4D24-BBC8-49B0-A049-49B833D93E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21" name="Picture 2276" descr="spacer">
          <a:extLst>
            <a:ext uri="{FF2B5EF4-FFF2-40B4-BE49-F238E27FC236}">
              <a16:creationId xmlns:a16="http://schemas.microsoft.com/office/drawing/2014/main" id="{EB7EFDEE-378C-4761-9EAF-0ED8450FB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22" name="Picture 2277" descr="spacer">
          <a:extLst>
            <a:ext uri="{FF2B5EF4-FFF2-40B4-BE49-F238E27FC236}">
              <a16:creationId xmlns:a16="http://schemas.microsoft.com/office/drawing/2014/main" id="{D0D69B38-4D30-4FC7-9694-13E775669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23" name="Picture 2278" descr="spacer">
          <a:extLst>
            <a:ext uri="{FF2B5EF4-FFF2-40B4-BE49-F238E27FC236}">
              <a16:creationId xmlns:a16="http://schemas.microsoft.com/office/drawing/2014/main" id="{0326EF56-CC34-4DB8-975E-2896C29C6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24" name="Picture 2279" descr="spacer">
          <a:extLst>
            <a:ext uri="{FF2B5EF4-FFF2-40B4-BE49-F238E27FC236}">
              <a16:creationId xmlns:a16="http://schemas.microsoft.com/office/drawing/2014/main" id="{0ADD9ABA-2855-4937-A6A8-90826B16E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25" name="Picture 2280" descr="spacer">
          <a:extLst>
            <a:ext uri="{FF2B5EF4-FFF2-40B4-BE49-F238E27FC236}">
              <a16:creationId xmlns:a16="http://schemas.microsoft.com/office/drawing/2014/main" id="{66480603-5B7D-4CFD-B1FF-0FFD162EA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26" name="Picture 2281" descr="spacer">
          <a:extLst>
            <a:ext uri="{FF2B5EF4-FFF2-40B4-BE49-F238E27FC236}">
              <a16:creationId xmlns:a16="http://schemas.microsoft.com/office/drawing/2014/main" id="{FB875A75-E18C-4143-86A1-BFB5DB7A6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27" name="Picture 2282" descr="spacer">
          <a:extLst>
            <a:ext uri="{FF2B5EF4-FFF2-40B4-BE49-F238E27FC236}">
              <a16:creationId xmlns:a16="http://schemas.microsoft.com/office/drawing/2014/main" id="{B796D73A-022B-421A-96CF-351B50C20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28" name="Picture 2283" descr="spacer">
          <a:extLst>
            <a:ext uri="{FF2B5EF4-FFF2-40B4-BE49-F238E27FC236}">
              <a16:creationId xmlns:a16="http://schemas.microsoft.com/office/drawing/2014/main" id="{C139BE05-9DD0-42A3-BFC3-1FB9C83E0E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229" name="Picture 2286" descr="spacer">
          <a:extLst>
            <a:ext uri="{FF2B5EF4-FFF2-40B4-BE49-F238E27FC236}">
              <a16:creationId xmlns:a16="http://schemas.microsoft.com/office/drawing/2014/main" id="{2BE92C24-BF78-44D8-BCBF-75867D1A8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30" name="Picture 2288" descr="spacer">
          <a:extLst>
            <a:ext uri="{FF2B5EF4-FFF2-40B4-BE49-F238E27FC236}">
              <a16:creationId xmlns:a16="http://schemas.microsoft.com/office/drawing/2014/main" id="{1BE51F3B-1553-4C0E-9C7E-80ABAFFD00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31" name="Picture 2289" descr="spacer">
          <a:extLst>
            <a:ext uri="{FF2B5EF4-FFF2-40B4-BE49-F238E27FC236}">
              <a16:creationId xmlns:a16="http://schemas.microsoft.com/office/drawing/2014/main" id="{0D59A16A-FF8A-45CD-A323-9964C13CB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32" name="Picture 2290" descr="spacer">
          <a:extLst>
            <a:ext uri="{FF2B5EF4-FFF2-40B4-BE49-F238E27FC236}">
              <a16:creationId xmlns:a16="http://schemas.microsoft.com/office/drawing/2014/main" id="{FF3F93B6-3758-460F-8A9B-27A22B133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33" name="Picture 2291" descr="spacer">
          <a:extLst>
            <a:ext uri="{FF2B5EF4-FFF2-40B4-BE49-F238E27FC236}">
              <a16:creationId xmlns:a16="http://schemas.microsoft.com/office/drawing/2014/main" id="{6FFB2A56-1865-452F-9865-6EA254863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34" name="Picture 2292" descr="spacer">
          <a:extLst>
            <a:ext uri="{FF2B5EF4-FFF2-40B4-BE49-F238E27FC236}">
              <a16:creationId xmlns:a16="http://schemas.microsoft.com/office/drawing/2014/main" id="{DDA3FDD3-4A61-4853-BCC9-FCF866D9B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35" name="Picture 2293" descr="spacer">
          <a:extLst>
            <a:ext uri="{FF2B5EF4-FFF2-40B4-BE49-F238E27FC236}">
              <a16:creationId xmlns:a16="http://schemas.microsoft.com/office/drawing/2014/main" id="{B5B97EE4-0C92-4177-8B9F-A3F73A5DE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36" name="Picture 2294" descr="spacer">
          <a:extLst>
            <a:ext uri="{FF2B5EF4-FFF2-40B4-BE49-F238E27FC236}">
              <a16:creationId xmlns:a16="http://schemas.microsoft.com/office/drawing/2014/main" id="{29BE4E36-030B-4A10-94A0-78A4289CA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37" name="Picture 2295" descr="spacer">
          <a:extLst>
            <a:ext uri="{FF2B5EF4-FFF2-40B4-BE49-F238E27FC236}">
              <a16:creationId xmlns:a16="http://schemas.microsoft.com/office/drawing/2014/main" id="{DCCE2602-4A52-4432-BB8D-128565862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38" name="Picture 2296" descr="spacer">
          <a:extLst>
            <a:ext uri="{FF2B5EF4-FFF2-40B4-BE49-F238E27FC236}">
              <a16:creationId xmlns:a16="http://schemas.microsoft.com/office/drawing/2014/main" id="{AF06F420-16E0-469D-8999-CFD46608A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39" name="Picture 2297" descr="spacer">
          <a:extLst>
            <a:ext uri="{FF2B5EF4-FFF2-40B4-BE49-F238E27FC236}">
              <a16:creationId xmlns:a16="http://schemas.microsoft.com/office/drawing/2014/main" id="{0107EA2B-B433-4BC0-B6B7-8E28F85D8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40" name="Picture 2298" descr="spacer">
          <a:extLst>
            <a:ext uri="{FF2B5EF4-FFF2-40B4-BE49-F238E27FC236}">
              <a16:creationId xmlns:a16="http://schemas.microsoft.com/office/drawing/2014/main" id="{71435BF0-7BB8-4F80-A9EE-6017EDD76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41" name="Picture 2299" descr="spacer">
          <a:extLst>
            <a:ext uri="{FF2B5EF4-FFF2-40B4-BE49-F238E27FC236}">
              <a16:creationId xmlns:a16="http://schemas.microsoft.com/office/drawing/2014/main" id="{3AC6089B-5F99-42AD-964E-8FC6B6F98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42" name="Picture 2300" descr="spacer">
          <a:extLst>
            <a:ext uri="{FF2B5EF4-FFF2-40B4-BE49-F238E27FC236}">
              <a16:creationId xmlns:a16="http://schemas.microsoft.com/office/drawing/2014/main" id="{636C5B3E-F6B8-48CE-A18F-810964A9E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43" name="Picture 2301" descr="spacer">
          <a:extLst>
            <a:ext uri="{FF2B5EF4-FFF2-40B4-BE49-F238E27FC236}">
              <a16:creationId xmlns:a16="http://schemas.microsoft.com/office/drawing/2014/main" id="{981B1597-4307-4648-A5E3-3781F667D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244" name="Picture 2304" descr="spacer">
          <a:extLst>
            <a:ext uri="{FF2B5EF4-FFF2-40B4-BE49-F238E27FC236}">
              <a16:creationId xmlns:a16="http://schemas.microsoft.com/office/drawing/2014/main" id="{0137115A-6493-41A6-9260-4968BB042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45" name="Picture 2306" descr="spacer">
          <a:extLst>
            <a:ext uri="{FF2B5EF4-FFF2-40B4-BE49-F238E27FC236}">
              <a16:creationId xmlns:a16="http://schemas.microsoft.com/office/drawing/2014/main" id="{031701F3-438F-4213-A035-CC4998D29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46" name="Picture 2307" descr="spacer">
          <a:extLst>
            <a:ext uri="{FF2B5EF4-FFF2-40B4-BE49-F238E27FC236}">
              <a16:creationId xmlns:a16="http://schemas.microsoft.com/office/drawing/2014/main" id="{9BA8319F-CE24-4FB5-BAD1-5C3197E98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47" name="Picture 2308" descr="spacer">
          <a:extLst>
            <a:ext uri="{FF2B5EF4-FFF2-40B4-BE49-F238E27FC236}">
              <a16:creationId xmlns:a16="http://schemas.microsoft.com/office/drawing/2014/main" id="{B7A07BD7-A281-48D7-9FC0-B9C984A3E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48" name="Picture 2309" descr="spacer">
          <a:extLst>
            <a:ext uri="{FF2B5EF4-FFF2-40B4-BE49-F238E27FC236}">
              <a16:creationId xmlns:a16="http://schemas.microsoft.com/office/drawing/2014/main" id="{639058A2-7915-4ABD-9ED7-FB9B727923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49" name="Picture 2310" descr="spacer">
          <a:extLst>
            <a:ext uri="{FF2B5EF4-FFF2-40B4-BE49-F238E27FC236}">
              <a16:creationId xmlns:a16="http://schemas.microsoft.com/office/drawing/2014/main" id="{0B3CDE95-67DA-4FA7-944C-8415B65E1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50" name="Picture 2311" descr="spacer">
          <a:extLst>
            <a:ext uri="{FF2B5EF4-FFF2-40B4-BE49-F238E27FC236}">
              <a16:creationId xmlns:a16="http://schemas.microsoft.com/office/drawing/2014/main" id="{31E5E0CC-1D45-4CF6-A0C5-09EA93489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51" name="Picture 2312" descr="spacer">
          <a:extLst>
            <a:ext uri="{FF2B5EF4-FFF2-40B4-BE49-F238E27FC236}">
              <a16:creationId xmlns:a16="http://schemas.microsoft.com/office/drawing/2014/main" id="{FE9C8474-2189-4C95-96DB-8F49E9D94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52" name="Picture 2313" descr="spacer">
          <a:extLst>
            <a:ext uri="{FF2B5EF4-FFF2-40B4-BE49-F238E27FC236}">
              <a16:creationId xmlns:a16="http://schemas.microsoft.com/office/drawing/2014/main" id="{F1BE2460-DCD1-4AFC-A141-C055CC2B1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53" name="Picture 2314" descr="spacer">
          <a:extLst>
            <a:ext uri="{FF2B5EF4-FFF2-40B4-BE49-F238E27FC236}">
              <a16:creationId xmlns:a16="http://schemas.microsoft.com/office/drawing/2014/main" id="{7C9B670F-9506-4D93-B6FC-0DBBB8683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54" name="Picture 2315" descr="spacer">
          <a:extLst>
            <a:ext uri="{FF2B5EF4-FFF2-40B4-BE49-F238E27FC236}">
              <a16:creationId xmlns:a16="http://schemas.microsoft.com/office/drawing/2014/main" id="{1D647584-6A82-45C5-A49C-79871969E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55" name="Picture 2316" descr="spacer">
          <a:extLst>
            <a:ext uri="{FF2B5EF4-FFF2-40B4-BE49-F238E27FC236}">
              <a16:creationId xmlns:a16="http://schemas.microsoft.com/office/drawing/2014/main" id="{9068E93C-9FAD-4FC9-A6D2-AA4FFBBEE8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56" name="Picture 2317" descr="spacer">
          <a:extLst>
            <a:ext uri="{FF2B5EF4-FFF2-40B4-BE49-F238E27FC236}">
              <a16:creationId xmlns:a16="http://schemas.microsoft.com/office/drawing/2014/main" id="{41F63D3E-4CC2-43E4-BAF3-EE7AB1C5B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57" name="Picture 2318" descr="spacer">
          <a:extLst>
            <a:ext uri="{FF2B5EF4-FFF2-40B4-BE49-F238E27FC236}">
              <a16:creationId xmlns:a16="http://schemas.microsoft.com/office/drawing/2014/main" id="{BF853CB2-DA46-470C-8EC9-7B998E883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58" name="Picture 2319" descr="spacer">
          <a:extLst>
            <a:ext uri="{FF2B5EF4-FFF2-40B4-BE49-F238E27FC236}">
              <a16:creationId xmlns:a16="http://schemas.microsoft.com/office/drawing/2014/main" id="{35E82E55-D925-4946-842B-285E36A13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259" name="Picture 2322" descr="spacer">
          <a:extLst>
            <a:ext uri="{FF2B5EF4-FFF2-40B4-BE49-F238E27FC236}">
              <a16:creationId xmlns:a16="http://schemas.microsoft.com/office/drawing/2014/main" id="{36444AD0-D644-4988-8FD9-72B464F794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60" name="Picture 2324" descr="spacer">
          <a:extLst>
            <a:ext uri="{FF2B5EF4-FFF2-40B4-BE49-F238E27FC236}">
              <a16:creationId xmlns:a16="http://schemas.microsoft.com/office/drawing/2014/main" id="{C6512675-A39B-4F35-A481-7C990681B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61" name="Picture 2325" descr="spacer">
          <a:extLst>
            <a:ext uri="{FF2B5EF4-FFF2-40B4-BE49-F238E27FC236}">
              <a16:creationId xmlns:a16="http://schemas.microsoft.com/office/drawing/2014/main" id="{878E646E-F7A9-433B-9808-BF375D5D3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62" name="Picture 2326" descr="spacer">
          <a:extLst>
            <a:ext uri="{FF2B5EF4-FFF2-40B4-BE49-F238E27FC236}">
              <a16:creationId xmlns:a16="http://schemas.microsoft.com/office/drawing/2014/main" id="{B750073B-3438-4933-85DB-3E941A5070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63" name="Picture 2327" descr="spacer">
          <a:extLst>
            <a:ext uri="{FF2B5EF4-FFF2-40B4-BE49-F238E27FC236}">
              <a16:creationId xmlns:a16="http://schemas.microsoft.com/office/drawing/2014/main" id="{108D996F-EC33-4026-AF83-4DFF0CF4C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64" name="Picture 2328" descr="spacer">
          <a:extLst>
            <a:ext uri="{FF2B5EF4-FFF2-40B4-BE49-F238E27FC236}">
              <a16:creationId xmlns:a16="http://schemas.microsoft.com/office/drawing/2014/main" id="{E665E186-7155-436B-BFC9-BAC8DE1CA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65" name="Picture 2329" descr="spacer">
          <a:extLst>
            <a:ext uri="{FF2B5EF4-FFF2-40B4-BE49-F238E27FC236}">
              <a16:creationId xmlns:a16="http://schemas.microsoft.com/office/drawing/2014/main" id="{3BB73045-D70E-43C1-B47D-A2FB24B1D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66" name="Picture 2330" descr="spacer">
          <a:extLst>
            <a:ext uri="{FF2B5EF4-FFF2-40B4-BE49-F238E27FC236}">
              <a16:creationId xmlns:a16="http://schemas.microsoft.com/office/drawing/2014/main" id="{86DC3390-C2D5-45B2-B738-CBDF6AB67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67" name="Picture 2331" descr="spacer">
          <a:extLst>
            <a:ext uri="{FF2B5EF4-FFF2-40B4-BE49-F238E27FC236}">
              <a16:creationId xmlns:a16="http://schemas.microsoft.com/office/drawing/2014/main" id="{A31D8C57-FA2A-498C-A9C3-609D3941C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68" name="Picture 2332" descr="spacer">
          <a:extLst>
            <a:ext uri="{FF2B5EF4-FFF2-40B4-BE49-F238E27FC236}">
              <a16:creationId xmlns:a16="http://schemas.microsoft.com/office/drawing/2014/main" id="{68B73C70-B95F-4F2F-93F2-836898B7E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69" name="Picture 2333" descr="spacer">
          <a:extLst>
            <a:ext uri="{FF2B5EF4-FFF2-40B4-BE49-F238E27FC236}">
              <a16:creationId xmlns:a16="http://schemas.microsoft.com/office/drawing/2014/main" id="{F87DFF9B-9F96-4759-AC22-AFC21BEA8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70" name="Picture 2334" descr="spacer">
          <a:extLst>
            <a:ext uri="{FF2B5EF4-FFF2-40B4-BE49-F238E27FC236}">
              <a16:creationId xmlns:a16="http://schemas.microsoft.com/office/drawing/2014/main" id="{6F2114A3-75F9-4C4D-B07D-58B7DC19AD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71" name="Picture 2335" descr="spacer">
          <a:extLst>
            <a:ext uri="{FF2B5EF4-FFF2-40B4-BE49-F238E27FC236}">
              <a16:creationId xmlns:a16="http://schemas.microsoft.com/office/drawing/2014/main" id="{CDB68EAC-2D07-43E2-9D65-58C6A5777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72" name="Picture 2336" descr="spacer">
          <a:extLst>
            <a:ext uri="{FF2B5EF4-FFF2-40B4-BE49-F238E27FC236}">
              <a16:creationId xmlns:a16="http://schemas.microsoft.com/office/drawing/2014/main" id="{6233602D-CE0C-4946-A377-54E498D43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73" name="Picture 2337" descr="spacer">
          <a:extLst>
            <a:ext uri="{FF2B5EF4-FFF2-40B4-BE49-F238E27FC236}">
              <a16:creationId xmlns:a16="http://schemas.microsoft.com/office/drawing/2014/main" id="{4E6E1F84-57C4-4160-BB8A-C6468F804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274" name="Picture 2340" descr="spacer">
          <a:extLst>
            <a:ext uri="{FF2B5EF4-FFF2-40B4-BE49-F238E27FC236}">
              <a16:creationId xmlns:a16="http://schemas.microsoft.com/office/drawing/2014/main" id="{21309244-BF42-4D74-B767-B6CD377D1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75" name="Picture 2342" descr="spacer">
          <a:extLst>
            <a:ext uri="{FF2B5EF4-FFF2-40B4-BE49-F238E27FC236}">
              <a16:creationId xmlns:a16="http://schemas.microsoft.com/office/drawing/2014/main" id="{73EC7224-38BE-4D70-B3F0-44F8D728D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76" name="Picture 2343" descr="spacer">
          <a:extLst>
            <a:ext uri="{FF2B5EF4-FFF2-40B4-BE49-F238E27FC236}">
              <a16:creationId xmlns:a16="http://schemas.microsoft.com/office/drawing/2014/main" id="{E38295C3-53CD-4433-BBA7-D38E3E936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77" name="Picture 2344" descr="spacer">
          <a:extLst>
            <a:ext uri="{FF2B5EF4-FFF2-40B4-BE49-F238E27FC236}">
              <a16:creationId xmlns:a16="http://schemas.microsoft.com/office/drawing/2014/main" id="{4A9C240F-3FF3-43A3-9519-D49786311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78" name="Picture 2345" descr="spacer">
          <a:extLst>
            <a:ext uri="{FF2B5EF4-FFF2-40B4-BE49-F238E27FC236}">
              <a16:creationId xmlns:a16="http://schemas.microsoft.com/office/drawing/2014/main" id="{CCA866DF-E6C6-457A-B699-AA5672793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79" name="Picture 2346" descr="spacer">
          <a:extLst>
            <a:ext uri="{FF2B5EF4-FFF2-40B4-BE49-F238E27FC236}">
              <a16:creationId xmlns:a16="http://schemas.microsoft.com/office/drawing/2014/main" id="{E3994B90-6001-41B2-B500-122AE0885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80" name="Picture 2347" descr="spacer">
          <a:extLst>
            <a:ext uri="{FF2B5EF4-FFF2-40B4-BE49-F238E27FC236}">
              <a16:creationId xmlns:a16="http://schemas.microsoft.com/office/drawing/2014/main" id="{D31C863D-8419-42B7-9B10-E9FBC0A16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81" name="Picture 2348" descr="spacer">
          <a:extLst>
            <a:ext uri="{FF2B5EF4-FFF2-40B4-BE49-F238E27FC236}">
              <a16:creationId xmlns:a16="http://schemas.microsoft.com/office/drawing/2014/main" id="{75C5E756-46D9-49ED-909B-FF369795D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82" name="Picture 2349" descr="spacer">
          <a:extLst>
            <a:ext uri="{FF2B5EF4-FFF2-40B4-BE49-F238E27FC236}">
              <a16:creationId xmlns:a16="http://schemas.microsoft.com/office/drawing/2014/main" id="{B4EBE441-1DBE-4ED7-AA29-967E1983F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83" name="Picture 2350" descr="spacer">
          <a:extLst>
            <a:ext uri="{FF2B5EF4-FFF2-40B4-BE49-F238E27FC236}">
              <a16:creationId xmlns:a16="http://schemas.microsoft.com/office/drawing/2014/main" id="{6610484E-A74F-406B-B65B-C2FC22190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84" name="Picture 2351" descr="spacer">
          <a:extLst>
            <a:ext uri="{FF2B5EF4-FFF2-40B4-BE49-F238E27FC236}">
              <a16:creationId xmlns:a16="http://schemas.microsoft.com/office/drawing/2014/main" id="{60BCFDFA-656C-4F5C-AE9F-9159382DB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85" name="Picture 2352" descr="spacer">
          <a:extLst>
            <a:ext uri="{FF2B5EF4-FFF2-40B4-BE49-F238E27FC236}">
              <a16:creationId xmlns:a16="http://schemas.microsoft.com/office/drawing/2014/main" id="{08FB77E1-5C5A-4DF5-9E6D-0F3C456C8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86" name="Picture 2353" descr="spacer">
          <a:extLst>
            <a:ext uri="{FF2B5EF4-FFF2-40B4-BE49-F238E27FC236}">
              <a16:creationId xmlns:a16="http://schemas.microsoft.com/office/drawing/2014/main" id="{0BABD65F-6EDE-4823-A746-2EF26DA0B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87" name="Picture 2354" descr="spacer">
          <a:extLst>
            <a:ext uri="{FF2B5EF4-FFF2-40B4-BE49-F238E27FC236}">
              <a16:creationId xmlns:a16="http://schemas.microsoft.com/office/drawing/2014/main" id="{4025E91D-6B38-445F-BB7D-70BC8D490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88" name="Picture 2355" descr="spacer">
          <a:extLst>
            <a:ext uri="{FF2B5EF4-FFF2-40B4-BE49-F238E27FC236}">
              <a16:creationId xmlns:a16="http://schemas.microsoft.com/office/drawing/2014/main" id="{7D824B85-361E-4369-A0F9-D8D7B0B54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289" name="Picture 2358" descr="spacer">
          <a:extLst>
            <a:ext uri="{FF2B5EF4-FFF2-40B4-BE49-F238E27FC236}">
              <a16:creationId xmlns:a16="http://schemas.microsoft.com/office/drawing/2014/main" id="{3D86158B-FF76-4F9E-AEE9-76E779303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90" name="Picture 2360" descr="spacer">
          <a:extLst>
            <a:ext uri="{FF2B5EF4-FFF2-40B4-BE49-F238E27FC236}">
              <a16:creationId xmlns:a16="http://schemas.microsoft.com/office/drawing/2014/main" id="{28738B5C-D3B8-437B-82E7-1E803A62DE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91" name="Picture 2361" descr="spacer">
          <a:extLst>
            <a:ext uri="{FF2B5EF4-FFF2-40B4-BE49-F238E27FC236}">
              <a16:creationId xmlns:a16="http://schemas.microsoft.com/office/drawing/2014/main" id="{FCBDBEA4-94DD-484E-BB96-55C3DDC2C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92" name="Picture 2362" descr="spacer">
          <a:extLst>
            <a:ext uri="{FF2B5EF4-FFF2-40B4-BE49-F238E27FC236}">
              <a16:creationId xmlns:a16="http://schemas.microsoft.com/office/drawing/2014/main" id="{6D5CEE25-9FE9-479A-9D4D-44A380FE5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93" name="Picture 2363" descr="spacer">
          <a:extLst>
            <a:ext uri="{FF2B5EF4-FFF2-40B4-BE49-F238E27FC236}">
              <a16:creationId xmlns:a16="http://schemas.microsoft.com/office/drawing/2014/main" id="{74BE2019-4124-480E-B7CC-30757EF20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94" name="Picture 2364" descr="spacer">
          <a:extLst>
            <a:ext uri="{FF2B5EF4-FFF2-40B4-BE49-F238E27FC236}">
              <a16:creationId xmlns:a16="http://schemas.microsoft.com/office/drawing/2014/main" id="{71518842-4BC2-4D1D-B9DB-BAE8CFA30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95" name="Picture 2365" descr="spacer">
          <a:extLst>
            <a:ext uri="{FF2B5EF4-FFF2-40B4-BE49-F238E27FC236}">
              <a16:creationId xmlns:a16="http://schemas.microsoft.com/office/drawing/2014/main" id="{0A1EA107-F69E-4155-928F-618473BB5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96" name="Picture 2366" descr="spacer">
          <a:extLst>
            <a:ext uri="{FF2B5EF4-FFF2-40B4-BE49-F238E27FC236}">
              <a16:creationId xmlns:a16="http://schemas.microsoft.com/office/drawing/2014/main" id="{A52E02AB-DA13-4D3E-92E9-04AB470E8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97" name="Picture 2367" descr="spacer">
          <a:extLst>
            <a:ext uri="{FF2B5EF4-FFF2-40B4-BE49-F238E27FC236}">
              <a16:creationId xmlns:a16="http://schemas.microsoft.com/office/drawing/2014/main" id="{BDA24F10-558A-4EE4-883D-11DBE7D73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98" name="Picture 2368" descr="spacer">
          <a:extLst>
            <a:ext uri="{FF2B5EF4-FFF2-40B4-BE49-F238E27FC236}">
              <a16:creationId xmlns:a16="http://schemas.microsoft.com/office/drawing/2014/main" id="{E5CFFEDB-8D96-4F97-AB9C-4107C8116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299" name="Picture 2369" descr="spacer">
          <a:extLst>
            <a:ext uri="{FF2B5EF4-FFF2-40B4-BE49-F238E27FC236}">
              <a16:creationId xmlns:a16="http://schemas.microsoft.com/office/drawing/2014/main" id="{3AD3A01C-9E07-4847-9803-B29FE377DE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00" name="Picture 2370" descr="spacer">
          <a:extLst>
            <a:ext uri="{FF2B5EF4-FFF2-40B4-BE49-F238E27FC236}">
              <a16:creationId xmlns:a16="http://schemas.microsoft.com/office/drawing/2014/main" id="{372257C1-997D-4BB9-99CE-27687CF85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01" name="Picture 2371" descr="spacer">
          <a:extLst>
            <a:ext uri="{FF2B5EF4-FFF2-40B4-BE49-F238E27FC236}">
              <a16:creationId xmlns:a16="http://schemas.microsoft.com/office/drawing/2014/main" id="{06697ECC-D405-4F62-BC3E-6F90044DE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02" name="Picture 2372" descr="spacer">
          <a:extLst>
            <a:ext uri="{FF2B5EF4-FFF2-40B4-BE49-F238E27FC236}">
              <a16:creationId xmlns:a16="http://schemas.microsoft.com/office/drawing/2014/main" id="{83528C26-8D14-4E7D-A866-63B9B3F8C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303" name="Picture 2375" descr="spacer">
          <a:extLst>
            <a:ext uri="{FF2B5EF4-FFF2-40B4-BE49-F238E27FC236}">
              <a16:creationId xmlns:a16="http://schemas.microsoft.com/office/drawing/2014/main" id="{14B7DDC9-9872-40A8-8425-EF95186FB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04" name="Picture 2377" descr="spacer">
          <a:extLst>
            <a:ext uri="{FF2B5EF4-FFF2-40B4-BE49-F238E27FC236}">
              <a16:creationId xmlns:a16="http://schemas.microsoft.com/office/drawing/2014/main" id="{2CE7FDEA-0C23-4D95-8432-598F20A417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05" name="Picture 2378" descr="spacer">
          <a:extLst>
            <a:ext uri="{FF2B5EF4-FFF2-40B4-BE49-F238E27FC236}">
              <a16:creationId xmlns:a16="http://schemas.microsoft.com/office/drawing/2014/main" id="{33095044-D111-4AAA-8849-776DD68EF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06" name="Picture 2379" descr="spacer">
          <a:extLst>
            <a:ext uri="{FF2B5EF4-FFF2-40B4-BE49-F238E27FC236}">
              <a16:creationId xmlns:a16="http://schemas.microsoft.com/office/drawing/2014/main" id="{8CCA3A71-6BA8-4114-B72A-D5353C8DFB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07" name="Picture 2380" descr="spacer">
          <a:extLst>
            <a:ext uri="{FF2B5EF4-FFF2-40B4-BE49-F238E27FC236}">
              <a16:creationId xmlns:a16="http://schemas.microsoft.com/office/drawing/2014/main" id="{AF60F708-245D-425F-8D68-EAE80E94B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08" name="Picture 2381" descr="spacer">
          <a:extLst>
            <a:ext uri="{FF2B5EF4-FFF2-40B4-BE49-F238E27FC236}">
              <a16:creationId xmlns:a16="http://schemas.microsoft.com/office/drawing/2014/main" id="{B4523D9B-AA0D-4B5F-BCE8-49A86B7D6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09" name="Picture 2382" descr="spacer">
          <a:extLst>
            <a:ext uri="{FF2B5EF4-FFF2-40B4-BE49-F238E27FC236}">
              <a16:creationId xmlns:a16="http://schemas.microsoft.com/office/drawing/2014/main" id="{58AC1B23-F738-47E3-832D-EFB97EA10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10" name="Picture 2383" descr="spacer">
          <a:extLst>
            <a:ext uri="{FF2B5EF4-FFF2-40B4-BE49-F238E27FC236}">
              <a16:creationId xmlns:a16="http://schemas.microsoft.com/office/drawing/2014/main" id="{0D41FC95-B098-476C-81A0-A88159DEE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11" name="Picture 2384" descr="spacer">
          <a:extLst>
            <a:ext uri="{FF2B5EF4-FFF2-40B4-BE49-F238E27FC236}">
              <a16:creationId xmlns:a16="http://schemas.microsoft.com/office/drawing/2014/main" id="{FF9BE30C-F7E4-4282-989D-7FB5BA2E3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12" name="Picture 2385" descr="spacer">
          <a:extLst>
            <a:ext uri="{FF2B5EF4-FFF2-40B4-BE49-F238E27FC236}">
              <a16:creationId xmlns:a16="http://schemas.microsoft.com/office/drawing/2014/main" id="{F8A2AE58-6F79-46EB-B072-60E19FCD1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13" name="Picture 2386" descr="spacer">
          <a:extLst>
            <a:ext uri="{FF2B5EF4-FFF2-40B4-BE49-F238E27FC236}">
              <a16:creationId xmlns:a16="http://schemas.microsoft.com/office/drawing/2014/main" id="{19223CD9-8082-4079-9D6C-64AC7A61B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14" name="Picture 2387" descr="spacer">
          <a:extLst>
            <a:ext uri="{FF2B5EF4-FFF2-40B4-BE49-F238E27FC236}">
              <a16:creationId xmlns:a16="http://schemas.microsoft.com/office/drawing/2014/main" id="{B9DD717F-2891-4EA8-9B19-6A7AA7981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15" name="Picture 2388" descr="spacer">
          <a:extLst>
            <a:ext uri="{FF2B5EF4-FFF2-40B4-BE49-F238E27FC236}">
              <a16:creationId xmlns:a16="http://schemas.microsoft.com/office/drawing/2014/main" id="{CDDF2BA8-92C2-4344-B5DB-288BF051A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16" name="Picture 2389" descr="spacer">
          <a:extLst>
            <a:ext uri="{FF2B5EF4-FFF2-40B4-BE49-F238E27FC236}">
              <a16:creationId xmlns:a16="http://schemas.microsoft.com/office/drawing/2014/main" id="{94E62535-DB95-4E42-A62E-3F0BFDEED8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17" name="Picture 2390" descr="spacer">
          <a:extLst>
            <a:ext uri="{FF2B5EF4-FFF2-40B4-BE49-F238E27FC236}">
              <a16:creationId xmlns:a16="http://schemas.microsoft.com/office/drawing/2014/main" id="{695CA55E-0A05-4FD6-80A1-0EE0D2453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318" name="Picture 2393" descr="spacer">
          <a:extLst>
            <a:ext uri="{FF2B5EF4-FFF2-40B4-BE49-F238E27FC236}">
              <a16:creationId xmlns:a16="http://schemas.microsoft.com/office/drawing/2014/main" id="{07DEF4FC-C628-47DC-9E17-5918D07E7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19" name="Picture 2395" descr="spacer">
          <a:extLst>
            <a:ext uri="{FF2B5EF4-FFF2-40B4-BE49-F238E27FC236}">
              <a16:creationId xmlns:a16="http://schemas.microsoft.com/office/drawing/2014/main" id="{A8395F2E-52CB-409A-AB0E-CAA77146C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20" name="Picture 2396" descr="spacer">
          <a:extLst>
            <a:ext uri="{FF2B5EF4-FFF2-40B4-BE49-F238E27FC236}">
              <a16:creationId xmlns:a16="http://schemas.microsoft.com/office/drawing/2014/main" id="{0B00D0B9-3B72-4EA9-8934-001624900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21" name="Picture 2397" descr="spacer">
          <a:extLst>
            <a:ext uri="{FF2B5EF4-FFF2-40B4-BE49-F238E27FC236}">
              <a16:creationId xmlns:a16="http://schemas.microsoft.com/office/drawing/2014/main" id="{E8F761E1-3B5C-4A47-B6D6-20B44B87E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22" name="Picture 2398" descr="spacer">
          <a:extLst>
            <a:ext uri="{FF2B5EF4-FFF2-40B4-BE49-F238E27FC236}">
              <a16:creationId xmlns:a16="http://schemas.microsoft.com/office/drawing/2014/main" id="{9D9FF91C-9ECB-4569-8565-04A0DE668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23" name="Picture 2399" descr="spacer">
          <a:extLst>
            <a:ext uri="{FF2B5EF4-FFF2-40B4-BE49-F238E27FC236}">
              <a16:creationId xmlns:a16="http://schemas.microsoft.com/office/drawing/2014/main" id="{144050D8-A6C5-46EC-9B9B-C53284151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24" name="Picture 2400" descr="spacer">
          <a:extLst>
            <a:ext uri="{FF2B5EF4-FFF2-40B4-BE49-F238E27FC236}">
              <a16:creationId xmlns:a16="http://schemas.microsoft.com/office/drawing/2014/main" id="{6CB743CC-6462-4DB7-95E9-518E44394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25" name="Picture 2401" descr="spacer">
          <a:extLst>
            <a:ext uri="{FF2B5EF4-FFF2-40B4-BE49-F238E27FC236}">
              <a16:creationId xmlns:a16="http://schemas.microsoft.com/office/drawing/2014/main" id="{F2D27157-D49D-449B-AF4C-9E3C1B629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26" name="Picture 2402" descr="spacer">
          <a:extLst>
            <a:ext uri="{FF2B5EF4-FFF2-40B4-BE49-F238E27FC236}">
              <a16:creationId xmlns:a16="http://schemas.microsoft.com/office/drawing/2014/main" id="{4FDC4F75-8992-4079-B881-62A8165C2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27" name="Picture 2403" descr="spacer">
          <a:extLst>
            <a:ext uri="{FF2B5EF4-FFF2-40B4-BE49-F238E27FC236}">
              <a16:creationId xmlns:a16="http://schemas.microsoft.com/office/drawing/2014/main" id="{7C0B16BB-8106-424F-9F5A-D88F1D206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28" name="Picture 2404" descr="spacer">
          <a:extLst>
            <a:ext uri="{FF2B5EF4-FFF2-40B4-BE49-F238E27FC236}">
              <a16:creationId xmlns:a16="http://schemas.microsoft.com/office/drawing/2014/main" id="{435A313A-147D-4A48-AEB6-47AF14C13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29" name="Picture 2405" descr="spacer">
          <a:extLst>
            <a:ext uri="{FF2B5EF4-FFF2-40B4-BE49-F238E27FC236}">
              <a16:creationId xmlns:a16="http://schemas.microsoft.com/office/drawing/2014/main" id="{74ACF7C2-6F0E-4C8F-A43F-7BD0C566E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30" name="Picture 2406" descr="spacer">
          <a:extLst>
            <a:ext uri="{FF2B5EF4-FFF2-40B4-BE49-F238E27FC236}">
              <a16:creationId xmlns:a16="http://schemas.microsoft.com/office/drawing/2014/main" id="{4FB571B0-B2FC-4482-83C2-D3C2F2FD4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31" name="Picture 2407" descr="spacer">
          <a:extLst>
            <a:ext uri="{FF2B5EF4-FFF2-40B4-BE49-F238E27FC236}">
              <a16:creationId xmlns:a16="http://schemas.microsoft.com/office/drawing/2014/main" id="{F2ED6E29-C821-4E20-B0C1-51C198521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332" name="Picture 2410" descr="spacer">
          <a:extLst>
            <a:ext uri="{FF2B5EF4-FFF2-40B4-BE49-F238E27FC236}">
              <a16:creationId xmlns:a16="http://schemas.microsoft.com/office/drawing/2014/main" id="{5EB84353-8183-4C9B-B51E-20A381FF6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33" name="Picture 2412" descr="spacer">
          <a:extLst>
            <a:ext uri="{FF2B5EF4-FFF2-40B4-BE49-F238E27FC236}">
              <a16:creationId xmlns:a16="http://schemas.microsoft.com/office/drawing/2014/main" id="{EBA4DF7A-9CB6-4565-A19E-25E443E07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34" name="Picture 2413" descr="spacer">
          <a:extLst>
            <a:ext uri="{FF2B5EF4-FFF2-40B4-BE49-F238E27FC236}">
              <a16:creationId xmlns:a16="http://schemas.microsoft.com/office/drawing/2014/main" id="{C777E852-3990-4E1C-8FA3-4B1B42CBC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35" name="Picture 2414" descr="spacer">
          <a:extLst>
            <a:ext uri="{FF2B5EF4-FFF2-40B4-BE49-F238E27FC236}">
              <a16:creationId xmlns:a16="http://schemas.microsoft.com/office/drawing/2014/main" id="{E5C07C3B-16A0-4165-A652-11AF599CE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36" name="Picture 2415" descr="spacer">
          <a:extLst>
            <a:ext uri="{FF2B5EF4-FFF2-40B4-BE49-F238E27FC236}">
              <a16:creationId xmlns:a16="http://schemas.microsoft.com/office/drawing/2014/main" id="{C9441CCA-A38C-45B8-84EC-800D46F554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37" name="Picture 2416" descr="spacer">
          <a:extLst>
            <a:ext uri="{FF2B5EF4-FFF2-40B4-BE49-F238E27FC236}">
              <a16:creationId xmlns:a16="http://schemas.microsoft.com/office/drawing/2014/main" id="{D4F2A503-CAD4-4A82-839D-7E8DF29F2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38" name="Picture 2417" descr="spacer">
          <a:extLst>
            <a:ext uri="{FF2B5EF4-FFF2-40B4-BE49-F238E27FC236}">
              <a16:creationId xmlns:a16="http://schemas.microsoft.com/office/drawing/2014/main" id="{55702F7C-CB5E-41FA-A026-54551FF47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39" name="Picture 2418" descr="spacer">
          <a:extLst>
            <a:ext uri="{FF2B5EF4-FFF2-40B4-BE49-F238E27FC236}">
              <a16:creationId xmlns:a16="http://schemas.microsoft.com/office/drawing/2014/main" id="{2E449593-EF78-47C2-9FAC-481A8971A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40" name="Picture 2419" descr="spacer">
          <a:extLst>
            <a:ext uri="{FF2B5EF4-FFF2-40B4-BE49-F238E27FC236}">
              <a16:creationId xmlns:a16="http://schemas.microsoft.com/office/drawing/2014/main" id="{A14BC525-37AF-4B23-9ED8-0695B9980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41" name="Picture 2420" descr="spacer">
          <a:extLst>
            <a:ext uri="{FF2B5EF4-FFF2-40B4-BE49-F238E27FC236}">
              <a16:creationId xmlns:a16="http://schemas.microsoft.com/office/drawing/2014/main" id="{A592DA64-9041-4C6D-933B-FF331B85D8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42" name="Picture 2421" descr="spacer">
          <a:extLst>
            <a:ext uri="{FF2B5EF4-FFF2-40B4-BE49-F238E27FC236}">
              <a16:creationId xmlns:a16="http://schemas.microsoft.com/office/drawing/2014/main" id="{FF3F5003-9214-4E58-B577-E146EA54B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43" name="Picture 2422" descr="spacer">
          <a:extLst>
            <a:ext uri="{FF2B5EF4-FFF2-40B4-BE49-F238E27FC236}">
              <a16:creationId xmlns:a16="http://schemas.microsoft.com/office/drawing/2014/main" id="{8DDB04B3-A2C0-4DBB-B8C7-BB4EEB1F6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44" name="Picture 2423" descr="spacer">
          <a:extLst>
            <a:ext uri="{FF2B5EF4-FFF2-40B4-BE49-F238E27FC236}">
              <a16:creationId xmlns:a16="http://schemas.microsoft.com/office/drawing/2014/main" id="{FD90E5F3-35B2-4BA3-9C6C-241E8CCEB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45" name="Picture 2424" descr="spacer">
          <a:extLst>
            <a:ext uri="{FF2B5EF4-FFF2-40B4-BE49-F238E27FC236}">
              <a16:creationId xmlns:a16="http://schemas.microsoft.com/office/drawing/2014/main" id="{25D81122-8A3D-4F2D-97C7-9FFF368605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346" name="Picture 2427" descr="spacer">
          <a:extLst>
            <a:ext uri="{FF2B5EF4-FFF2-40B4-BE49-F238E27FC236}">
              <a16:creationId xmlns:a16="http://schemas.microsoft.com/office/drawing/2014/main" id="{F6DFBC01-914F-47D0-B1B2-F5EA161E10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47" name="Picture 2429" descr="spacer">
          <a:extLst>
            <a:ext uri="{FF2B5EF4-FFF2-40B4-BE49-F238E27FC236}">
              <a16:creationId xmlns:a16="http://schemas.microsoft.com/office/drawing/2014/main" id="{7C92F72B-5E46-4E03-8DCA-77D613471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48" name="Picture 2430" descr="spacer">
          <a:extLst>
            <a:ext uri="{FF2B5EF4-FFF2-40B4-BE49-F238E27FC236}">
              <a16:creationId xmlns:a16="http://schemas.microsoft.com/office/drawing/2014/main" id="{26D45769-A296-4B13-B155-4CC0F4A0D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49" name="Picture 2431" descr="spacer">
          <a:extLst>
            <a:ext uri="{FF2B5EF4-FFF2-40B4-BE49-F238E27FC236}">
              <a16:creationId xmlns:a16="http://schemas.microsoft.com/office/drawing/2014/main" id="{4681350A-C79A-441C-BA2A-9FB7D2DB2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50" name="Picture 2432" descr="spacer">
          <a:extLst>
            <a:ext uri="{FF2B5EF4-FFF2-40B4-BE49-F238E27FC236}">
              <a16:creationId xmlns:a16="http://schemas.microsoft.com/office/drawing/2014/main" id="{497945CB-3475-4B80-AFB3-6C54F5FE4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51" name="Picture 2433" descr="spacer">
          <a:extLst>
            <a:ext uri="{FF2B5EF4-FFF2-40B4-BE49-F238E27FC236}">
              <a16:creationId xmlns:a16="http://schemas.microsoft.com/office/drawing/2014/main" id="{19CDCB9A-6A86-450B-8081-D9D420B178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52" name="Picture 2434" descr="spacer">
          <a:extLst>
            <a:ext uri="{FF2B5EF4-FFF2-40B4-BE49-F238E27FC236}">
              <a16:creationId xmlns:a16="http://schemas.microsoft.com/office/drawing/2014/main" id="{49D6C43B-974A-4F10-BD87-9784A91FC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53" name="Picture 2435" descr="spacer">
          <a:extLst>
            <a:ext uri="{FF2B5EF4-FFF2-40B4-BE49-F238E27FC236}">
              <a16:creationId xmlns:a16="http://schemas.microsoft.com/office/drawing/2014/main" id="{E8A8FF5C-9FC8-4A0B-AB00-CA797B8C8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54" name="Picture 2436" descr="spacer">
          <a:extLst>
            <a:ext uri="{FF2B5EF4-FFF2-40B4-BE49-F238E27FC236}">
              <a16:creationId xmlns:a16="http://schemas.microsoft.com/office/drawing/2014/main" id="{286BB5F4-75A2-4179-9088-F4CCE1874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55" name="Picture 2437" descr="spacer">
          <a:extLst>
            <a:ext uri="{FF2B5EF4-FFF2-40B4-BE49-F238E27FC236}">
              <a16:creationId xmlns:a16="http://schemas.microsoft.com/office/drawing/2014/main" id="{E3AF4567-5551-401B-9271-B0A304816B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56" name="Picture 2438" descr="spacer">
          <a:extLst>
            <a:ext uri="{FF2B5EF4-FFF2-40B4-BE49-F238E27FC236}">
              <a16:creationId xmlns:a16="http://schemas.microsoft.com/office/drawing/2014/main" id="{F22C87D4-DFF0-40B6-B850-AE34390D4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57" name="Picture 2439" descr="spacer">
          <a:extLst>
            <a:ext uri="{FF2B5EF4-FFF2-40B4-BE49-F238E27FC236}">
              <a16:creationId xmlns:a16="http://schemas.microsoft.com/office/drawing/2014/main" id="{1CA12DBA-825B-41A8-8B8D-D56E88B3E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58" name="Picture 2440" descr="spacer">
          <a:extLst>
            <a:ext uri="{FF2B5EF4-FFF2-40B4-BE49-F238E27FC236}">
              <a16:creationId xmlns:a16="http://schemas.microsoft.com/office/drawing/2014/main" id="{F9B7CB0B-20F8-4477-97A3-21AB99AAA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59" name="Picture 2441" descr="spacer">
          <a:extLst>
            <a:ext uri="{FF2B5EF4-FFF2-40B4-BE49-F238E27FC236}">
              <a16:creationId xmlns:a16="http://schemas.microsoft.com/office/drawing/2014/main" id="{FF508C58-D42E-4191-8222-EAD041229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60" name="Picture 2442" descr="spacer">
          <a:extLst>
            <a:ext uri="{FF2B5EF4-FFF2-40B4-BE49-F238E27FC236}">
              <a16:creationId xmlns:a16="http://schemas.microsoft.com/office/drawing/2014/main" id="{3DC4B2E5-AC00-452E-A915-42D29B77C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361" name="Picture 2445" descr="spacer">
          <a:extLst>
            <a:ext uri="{FF2B5EF4-FFF2-40B4-BE49-F238E27FC236}">
              <a16:creationId xmlns:a16="http://schemas.microsoft.com/office/drawing/2014/main" id="{B96EC089-7F07-44E1-9672-FC7E3313D9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62" name="Picture 2447" descr="spacer">
          <a:extLst>
            <a:ext uri="{FF2B5EF4-FFF2-40B4-BE49-F238E27FC236}">
              <a16:creationId xmlns:a16="http://schemas.microsoft.com/office/drawing/2014/main" id="{90A83239-5E31-4FE7-BF6E-32EA9C1DE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63" name="Picture 2448" descr="spacer">
          <a:extLst>
            <a:ext uri="{FF2B5EF4-FFF2-40B4-BE49-F238E27FC236}">
              <a16:creationId xmlns:a16="http://schemas.microsoft.com/office/drawing/2014/main" id="{0EE3B659-364B-4AFC-BFF0-98F46F9CF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64" name="Picture 2449" descr="spacer">
          <a:extLst>
            <a:ext uri="{FF2B5EF4-FFF2-40B4-BE49-F238E27FC236}">
              <a16:creationId xmlns:a16="http://schemas.microsoft.com/office/drawing/2014/main" id="{2E8BDF06-0B66-41DA-A37D-9FF53C5CD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65" name="Picture 2450" descr="spacer">
          <a:extLst>
            <a:ext uri="{FF2B5EF4-FFF2-40B4-BE49-F238E27FC236}">
              <a16:creationId xmlns:a16="http://schemas.microsoft.com/office/drawing/2014/main" id="{EAC8319D-B8C0-424A-AC0D-10EC33413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66" name="Picture 2451" descr="spacer">
          <a:extLst>
            <a:ext uri="{FF2B5EF4-FFF2-40B4-BE49-F238E27FC236}">
              <a16:creationId xmlns:a16="http://schemas.microsoft.com/office/drawing/2014/main" id="{A5D7EF76-8C0A-4EB0-A868-8144F5174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67" name="Picture 2452" descr="spacer">
          <a:extLst>
            <a:ext uri="{FF2B5EF4-FFF2-40B4-BE49-F238E27FC236}">
              <a16:creationId xmlns:a16="http://schemas.microsoft.com/office/drawing/2014/main" id="{3D43FAE0-92B7-42D8-98CE-C169269EB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68" name="Picture 2453" descr="spacer">
          <a:extLst>
            <a:ext uri="{FF2B5EF4-FFF2-40B4-BE49-F238E27FC236}">
              <a16:creationId xmlns:a16="http://schemas.microsoft.com/office/drawing/2014/main" id="{C6AEC721-B112-4B5E-B88A-50BD962DE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69" name="Picture 2454" descr="spacer">
          <a:extLst>
            <a:ext uri="{FF2B5EF4-FFF2-40B4-BE49-F238E27FC236}">
              <a16:creationId xmlns:a16="http://schemas.microsoft.com/office/drawing/2014/main" id="{CCF1026F-1251-4F08-B5B7-318FC8D8A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70" name="Picture 2455" descr="spacer">
          <a:extLst>
            <a:ext uri="{FF2B5EF4-FFF2-40B4-BE49-F238E27FC236}">
              <a16:creationId xmlns:a16="http://schemas.microsoft.com/office/drawing/2014/main" id="{AB745106-5341-41A6-B692-E285831D1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71" name="Picture 2456" descr="spacer">
          <a:extLst>
            <a:ext uri="{FF2B5EF4-FFF2-40B4-BE49-F238E27FC236}">
              <a16:creationId xmlns:a16="http://schemas.microsoft.com/office/drawing/2014/main" id="{7BCBCE80-8A49-4730-B03C-F78367453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72" name="Picture 2457" descr="spacer">
          <a:extLst>
            <a:ext uri="{FF2B5EF4-FFF2-40B4-BE49-F238E27FC236}">
              <a16:creationId xmlns:a16="http://schemas.microsoft.com/office/drawing/2014/main" id="{B4CDA25A-C64A-4FB0-9306-C33046BA2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73" name="Picture 2458" descr="spacer">
          <a:extLst>
            <a:ext uri="{FF2B5EF4-FFF2-40B4-BE49-F238E27FC236}">
              <a16:creationId xmlns:a16="http://schemas.microsoft.com/office/drawing/2014/main" id="{C027E03B-AD01-4B59-A451-4090B045B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74" name="Picture 2459" descr="spacer">
          <a:extLst>
            <a:ext uri="{FF2B5EF4-FFF2-40B4-BE49-F238E27FC236}">
              <a16:creationId xmlns:a16="http://schemas.microsoft.com/office/drawing/2014/main" id="{9C62A9CA-AD90-467B-AFEB-4614D6ECE9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75" name="Picture 2460" descr="spacer">
          <a:extLst>
            <a:ext uri="{FF2B5EF4-FFF2-40B4-BE49-F238E27FC236}">
              <a16:creationId xmlns:a16="http://schemas.microsoft.com/office/drawing/2014/main" id="{495D3E25-34C9-477A-A7C1-93018D9D2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376" name="Picture 2463" descr="spacer">
          <a:extLst>
            <a:ext uri="{FF2B5EF4-FFF2-40B4-BE49-F238E27FC236}">
              <a16:creationId xmlns:a16="http://schemas.microsoft.com/office/drawing/2014/main" id="{00F82E9F-B466-4425-B0B4-CE6932631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77" name="Picture 2465" descr="spacer">
          <a:extLst>
            <a:ext uri="{FF2B5EF4-FFF2-40B4-BE49-F238E27FC236}">
              <a16:creationId xmlns:a16="http://schemas.microsoft.com/office/drawing/2014/main" id="{2C72464C-1450-4FEE-A91D-7550D10B7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78" name="Picture 2466" descr="spacer">
          <a:extLst>
            <a:ext uri="{FF2B5EF4-FFF2-40B4-BE49-F238E27FC236}">
              <a16:creationId xmlns:a16="http://schemas.microsoft.com/office/drawing/2014/main" id="{C62F6CF1-D9A0-4511-8F60-EE87FB610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79" name="Picture 2467" descr="spacer">
          <a:extLst>
            <a:ext uri="{FF2B5EF4-FFF2-40B4-BE49-F238E27FC236}">
              <a16:creationId xmlns:a16="http://schemas.microsoft.com/office/drawing/2014/main" id="{E3C4AB7E-4FE1-4572-B41A-440C93618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80" name="Picture 2468" descr="spacer">
          <a:extLst>
            <a:ext uri="{FF2B5EF4-FFF2-40B4-BE49-F238E27FC236}">
              <a16:creationId xmlns:a16="http://schemas.microsoft.com/office/drawing/2014/main" id="{16D20D9E-CC11-473F-B016-A2D932C2DE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81" name="Picture 2469" descr="spacer">
          <a:extLst>
            <a:ext uri="{FF2B5EF4-FFF2-40B4-BE49-F238E27FC236}">
              <a16:creationId xmlns:a16="http://schemas.microsoft.com/office/drawing/2014/main" id="{11B4C64B-2C3B-4F62-9085-290211FDB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82" name="Picture 2470" descr="spacer">
          <a:extLst>
            <a:ext uri="{FF2B5EF4-FFF2-40B4-BE49-F238E27FC236}">
              <a16:creationId xmlns:a16="http://schemas.microsoft.com/office/drawing/2014/main" id="{72DBFFC3-719A-4085-A420-414C031E5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83" name="Picture 2471" descr="spacer">
          <a:extLst>
            <a:ext uri="{FF2B5EF4-FFF2-40B4-BE49-F238E27FC236}">
              <a16:creationId xmlns:a16="http://schemas.microsoft.com/office/drawing/2014/main" id="{14CAC041-D7E9-4FC5-B361-00D648953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84" name="Picture 2472" descr="spacer">
          <a:extLst>
            <a:ext uri="{FF2B5EF4-FFF2-40B4-BE49-F238E27FC236}">
              <a16:creationId xmlns:a16="http://schemas.microsoft.com/office/drawing/2014/main" id="{5E2C7488-6742-44DA-A4D3-20A1C703E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85" name="Picture 2473" descr="spacer">
          <a:extLst>
            <a:ext uri="{FF2B5EF4-FFF2-40B4-BE49-F238E27FC236}">
              <a16:creationId xmlns:a16="http://schemas.microsoft.com/office/drawing/2014/main" id="{AAC78695-891D-4B04-97E0-23BBDB699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86" name="Picture 2474" descr="spacer">
          <a:extLst>
            <a:ext uri="{FF2B5EF4-FFF2-40B4-BE49-F238E27FC236}">
              <a16:creationId xmlns:a16="http://schemas.microsoft.com/office/drawing/2014/main" id="{5A4A10E3-EC83-4599-BAFB-3DABA818A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87" name="Picture 2475" descr="spacer">
          <a:extLst>
            <a:ext uri="{FF2B5EF4-FFF2-40B4-BE49-F238E27FC236}">
              <a16:creationId xmlns:a16="http://schemas.microsoft.com/office/drawing/2014/main" id="{471B3C99-8C80-4084-9F38-8F6C4FE6F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88" name="Picture 2476" descr="spacer">
          <a:extLst>
            <a:ext uri="{FF2B5EF4-FFF2-40B4-BE49-F238E27FC236}">
              <a16:creationId xmlns:a16="http://schemas.microsoft.com/office/drawing/2014/main" id="{980E13FB-3812-4B48-AC6A-E1463D60B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89" name="Picture 2477" descr="spacer">
          <a:extLst>
            <a:ext uri="{FF2B5EF4-FFF2-40B4-BE49-F238E27FC236}">
              <a16:creationId xmlns:a16="http://schemas.microsoft.com/office/drawing/2014/main" id="{AB3A8A7D-0AF7-46F2-AECD-0E1D013637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390" name="Picture 2480" descr="spacer">
          <a:extLst>
            <a:ext uri="{FF2B5EF4-FFF2-40B4-BE49-F238E27FC236}">
              <a16:creationId xmlns:a16="http://schemas.microsoft.com/office/drawing/2014/main" id="{DEB7E6E3-9F3A-4668-A7D2-57797E0FB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91" name="Picture 2482" descr="spacer">
          <a:extLst>
            <a:ext uri="{FF2B5EF4-FFF2-40B4-BE49-F238E27FC236}">
              <a16:creationId xmlns:a16="http://schemas.microsoft.com/office/drawing/2014/main" id="{AEFEC6AF-DB10-443E-8C50-B81522EDF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92" name="Picture 2483" descr="spacer">
          <a:extLst>
            <a:ext uri="{FF2B5EF4-FFF2-40B4-BE49-F238E27FC236}">
              <a16:creationId xmlns:a16="http://schemas.microsoft.com/office/drawing/2014/main" id="{ABB48522-8033-46D0-BC34-5AE3236AA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93" name="Picture 2484" descr="spacer">
          <a:extLst>
            <a:ext uri="{FF2B5EF4-FFF2-40B4-BE49-F238E27FC236}">
              <a16:creationId xmlns:a16="http://schemas.microsoft.com/office/drawing/2014/main" id="{6C1D2FD8-A264-4750-BBB4-B37DF066F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94" name="Picture 2485" descr="spacer">
          <a:extLst>
            <a:ext uri="{FF2B5EF4-FFF2-40B4-BE49-F238E27FC236}">
              <a16:creationId xmlns:a16="http://schemas.microsoft.com/office/drawing/2014/main" id="{8EE224FA-A4E9-4F16-A1B7-188C0E5BA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95" name="Picture 2486" descr="spacer">
          <a:extLst>
            <a:ext uri="{FF2B5EF4-FFF2-40B4-BE49-F238E27FC236}">
              <a16:creationId xmlns:a16="http://schemas.microsoft.com/office/drawing/2014/main" id="{0FB01556-628E-4CC8-8F28-A3B202275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96" name="Picture 2487" descr="spacer">
          <a:extLst>
            <a:ext uri="{FF2B5EF4-FFF2-40B4-BE49-F238E27FC236}">
              <a16:creationId xmlns:a16="http://schemas.microsoft.com/office/drawing/2014/main" id="{423FE362-ADA9-4620-8F0E-F6C1FD2A1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97" name="Picture 2488" descr="spacer">
          <a:extLst>
            <a:ext uri="{FF2B5EF4-FFF2-40B4-BE49-F238E27FC236}">
              <a16:creationId xmlns:a16="http://schemas.microsoft.com/office/drawing/2014/main" id="{05BF7F57-B59A-4436-B531-A0E8DDEAC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98" name="Picture 2489" descr="spacer">
          <a:extLst>
            <a:ext uri="{FF2B5EF4-FFF2-40B4-BE49-F238E27FC236}">
              <a16:creationId xmlns:a16="http://schemas.microsoft.com/office/drawing/2014/main" id="{759C67A2-ECDF-456A-9D49-EF35DDF74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399" name="Picture 2490" descr="spacer">
          <a:extLst>
            <a:ext uri="{FF2B5EF4-FFF2-40B4-BE49-F238E27FC236}">
              <a16:creationId xmlns:a16="http://schemas.microsoft.com/office/drawing/2014/main" id="{1C326D2E-8167-473A-85E6-16CBB8FF6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00" name="Picture 2491" descr="spacer">
          <a:extLst>
            <a:ext uri="{FF2B5EF4-FFF2-40B4-BE49-F238E27FC236}">
              <a16:creationId xmlns:a16="http://schemas.microsoft.com/office/drawing/2014/main" id="{D764F9DF-E0F3-442F-ABA9-968C04B0B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01" name="Picture 2492" descr="spacer">
          <a:extLst>
            <a:ext uri="{FF2B5EF4-FFF2-40B4-BE49-F238E27FC236}">
              <a16:creationId xmlns:a16="http://schemas.microsoft.com/office/drawing/2014/main" id="{D461C940-29F5-4160-8159-156B3955D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02" name="Picture 2493" descr="spacer">
          <a:extLst>
            <a:ext uri="{FF2B5EF4-FFF2-40B4-BE49-F238E27FC236}">
              <a16:creationId xmlns:a16="http://schemas.microsoft.com/office/drawing/2014/main" id="{6DB54D5C-7AEF-4184-88C6-502BA203D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03" name="Picture 2494" descr="spacer">
          <a:extLst>
            <a:ext uri="{FF2B5EF4-FFF2-40B4-BE49-F238E27FC236}">
              <a16:creationId xmlns:a16="http://schemas.microsoft.com/office/drawing/2014/main" id="{92D993AE-C6D8-4CB4-B188-D4A6B01AD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404" name="Picture 2497" descr="spacer">
          <a:extLst>
            <a:ext uri="{FF2B5EF4-FFF2-40B4-BE49-F238E27FC236}">
              <a16:creationId xmlns:a16="http://schemas.microsoft.com/office/drawing/2014/main" id="{0F0DA32C-E18B-4091-BEB6-75513DB8FF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05" name="Picture 2499" descr="spacer">
          <a:extLst>
            <a:ext uri="{FF2B5EF4-FFF2-40B4-BE49-F238E27FC236}">
              <a16:creationId xmlns:a16="http://schemas.microsoft.com/office/drawing/2014/main" id="{F1AD9CEB-9627-4F3D-BB5C-E38D80400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06" name="Picture 2500" descr="spacer">
          <a:extLst>
            <a:ext uri="{FF2B5EF4-FFF2-40B4-BE49-F238E27FC236}">
              <a16:creationId xmlns:a16="http://schemas.microsoft.com/office/drawing/2014/main" id="{80E6C636-835C-4613-A476-6F405064F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07" name="Picture 2501" descr="spacer">
          <a:extLst>
            <a:ext uri="{FF2B5EF4-FFF2-40B4-BE49-F238E27FC236}">
              <a16:creationId xmlns:a16="http://schemas.microsoft.com/office/drawing/2014/main" id="{6548BF7F-C7B7-4433-96FA-0B5D89049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08" name="Picture 2502" descr="spacer">
          <a:extLst>
            <a:ext uri="{FF2B5EF4-FFF2-40B4-BE49-F238E27FC236}">
              <a16:creationId xmlns:a16="http://schemas.microsoft.com/office/drawing/2014/main" id="{8250BEC3-0854-4531-A0E1-6DEB451F95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09" name="Picture 2503" descr="spacer">
          <a:extLst>
            <a:ext uri="{FF2B5EF4-FFF2-40B4-BE49-F238E27FC236}">
              <a16:creationId xmlns:a16="http://schemas.microsoft.com/office/drawing/2014/main" id="{D20D083B-EA3D-42DD-A840-12F0683B2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10" name="Picture 2504" descr="spacer">
          <a:extLst>
            <a:ext uri="{FF2B5EF4-FFF2-40B4-BE49-F238E27FC236}">
              <a16:creationId xmlns:a16="http://schemas.microsoft.com/office/drawing/2014/main" id="{6D4FE494-7610-4A8F-A405-BC9F7BBD5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11" name="Picture 2505" descr="spacer">
          <a:extLst>
            <a:ext uri="{FF2B5EF4-FFF2-40B4-BE49-F238E27FC236}">
              <a16:creationId xmlns:a16="http://schemas.microsoft.com/office/drawing/2014/main" id="{EF1C7494-CD2D-40B3-A549-3493E13F1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12" name="Picture 2506" descr="spacer">
          <a:extLst>
            <a:ext uri="{FF2B5EF4-FFF2-40B4-BE49-F238E27FC236}">
              <a16:creationId xmlns:a16="http://schemas.microsoft.com/office/drawing/2014/main" id="{580BC6E0-7783-4E45-B424-0577D837E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13" name="Picture 2507" descr="spacer">
          <a:extLst>
            <a:ext uri="{FF2B5EF4-FFF2-40B4-BE49-F238E27FC236}">
              <a16:creationId xmlns:a16="http://schemas.microsoft.com/office/drawing/2014/main" id="{7E4F88D5-DDB6-4BDB-8F32-850B8515C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14" name="Picture 2508" descr="spacer">
          <a:extLst>
            <a:ext uri="{FF2B5EF4-FFF2-40B4-BE49-F238E27FC236}">
              <a16:creationId xmlns:a16="http://schemas.microsoft.com/office/drawing/2014/main" id="{FD5429D9-1068-4B52-9F4A-0CB1E4B658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15" name="Picture 2509" descr="spacer">
          <a:extLst>
            <a:ext uri="{FF2B5EF4-FFF2-40B4-BE49-F238E27FC236}">
              <a16:creationId xmlns:a16="http://schemas.microsoft.com/office/drawing/2014/main" id="{C8B61A1B-A5A4-4D5C-9795-671D7088F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16" name="Picture 2510" descr="spacer">
          <a:extLst>
            <a:ext uri="{FF2B5EF4-FFF2-40B4-BE49-F238E27FC236}">
              <a16:creationId xmlns:a16="http://schemas.microsoft.com/office/drawing/2014/main" id="{687FA84D-05BA-4732-B5AF-A07C1D408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17" name="Picture 2511" descr="spacer">
          <a:extLst>
            <a:ext uri="{FF2B5EF4-FFF2-40B4-BE49-F238E27FC236}">
              <a16:creationId xmlns:a16="http://schemas.microsoft.com/office/drawing/2014/main" id="{369B4113-09CE-4DCB-8EF2-E3946BE1A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418" name="Picture 2514" descr="spacer">
          <a:extLst>
            <a:ext uri="{FF2B5EF4-FFF2-40B4-BE49-F238E27FC236}">
              <a16:creationId xmlns:a16="http://schemas.microsoft.com/office/drawing/2014/main" id="{821F720D-1118-4CDD-A813-4E5C1885E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19" name="Picture 2516" descr="spacer">
          <a:extLst>
            <a:ext uri="{FF2B5EF4-FFF2-40B4-BE49-F238E27FC236}">
              <a16:creationId xmlns:a16="http://schemas.microsoft.com/office/drawing/2014/main" id="{C9DEFB60-ED2F-4955-B119-BD81D31E3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20" name="Picture 2517" descr="spacer">
          <a:extLst>
            <a:ext uri="{FF2B5EF4-FFF2-40B4-BE49-F238E27FC236}">
              <a16:creationId xmlns:a16="http://schemas.microsoft.com/office/drawing/2014/main" id="{05BC3B24-7341-4350-94BC-DFF8063B1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21" name="Picture 2518" descr="spacer">
          <a:extLst>
            <a:ext uri="{FF2B5EF4-FFF2-40B4-BE49-F238E27FC236}">
              <a16:creationId xmlns:a16="http://schemas.microsoft.com/office/drawing/2014/main" id="{0DFF355D-D02A-4342-A103-0B00DFB36F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22" name="Picture 2519" descr="spacer">
          <a:extLst>
            <a:ext uri="{FF2B5EF4-FFF2-40B4-BE49-F238E27FC236}">
              <a16:creationId xmlns:a16="http://schemas.microsoft.com/office/drawing/2014/main" id="{45F08156-27B9-4EB8-A17C-E62AFC631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23" name="Picture 2520" descr="spacer">
          <a:extLst>
            <a:ext uri="{FF2B5EF4-FFF2-40B4-BE49-F238E27FC236}">
              <a16:creationId xmlns:a16="http://schemas.microsoft.com/office/drawing/2014/main" id="{C99D7E47-5CE6-4A48-BF5C-B6C7CF40F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24" name="Picture 2521" descr="spacer">
          <a:extLst>
            <a:ext uri="{FF2B5EF4-FFF2-40B4-BE49-F238E27FC236}">
              <a16:creationId xmlns:a16="http://schemas.microsoft.com/office/drawing/2014/main" id="{39A24E58-1A6E-4852-8FD7-9163782BF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25" name="Picture 2522" descr="spacer">
          <a:extLst>
            <a:ext uri="{FF2B5EF4-FFF2-40B4-BE49-F238E27FC236}">
              <a16:creationId xmlns:a16="http://schemas.microsoft.com/office/drawing/2014/main" id="{C0E08635-FE4A-491A-98F0-2EA2A99FB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26" name="Picture 2523" descr="spacer">
          <a:extLst>
            <a:ext uri="{FF2B5EF4-FFF2-40B4-BE49-F238E27FC236}">
              <a16:creationId xmlns:a16="http://schemas.microsoft.com/office/drawing/2014/main" id="{F947555C-A910-4F3A-B0AA-08BC43EED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27" name="Picture 2524" descr="spacer">
          <a:extLst>
            <a:ext uri="{FF2B5EF4-FFF2-40B4-BE49-F238E27FC236}">
              <a16:creationId xmlns:a16="http://schemas.microsoft.com/office/drawing/2014/main" id="{9BCFEA8D-4E87-47DF-877B-B29796348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28" name="Picture 2525" descr="spacer">
          <a:extLst>
            <a:ext uri="{FF2B5EF4-FFF2-40B4-BE49-F238E27FC236}">
              <a16:creationId xmlns:a16="http://schemas.microsoft.com/office/drawing/2014/main" id="{926F9B1D-07CD-41A1-9256-CD2BC77C0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29" name="Picture 2526" descr="spacer">
          <a:extLst>
            <a:ext uri="{FF2B5EF4-FFF2-40B4-BE49-F238E27FC236}">
              <a16:creationId xmlns:a16="http://schemas.microsoft.com/office/drawing/2014/main" id="{345FEC37-EE3A-4434-A336-B0378E9B8E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30" name="Picture 2527" descr="spacer">
          <a:extLst>
            <a:ext uri="{FF2B5EF4-FFF2-40B4-BE49-F238E27FC236}">
              <a16:creationId xmlns:a16="http://schemas.microsoft.com/office/drawing/2014/main" id="{2F480D6C-B2F3-4024-B67D-8D349C20B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31" name="Picture 2528" descr="spacer">
          <a:extLst>
            <a:ext uri="{FF2B5EF4-FFF2-40B4-BE49-F238E27FC236}">
              <a16:creationId xmlns:a16="http://schemas.microsoft.com/office/drawing/2014/main" id="{03F18295-8152-46CA-9FEC-EAE0DB5F1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32" name="Picture 2529" descr="spacer">
          <a:extLst>
            <a:ext uri="{FF2B5EF4-FFF2-40B4-BE49-F238E27FC236}">
              <a16:creationId xmlns:a16="http://schemas.microsoft.com/office/drawing/2014/main" id="{17B153B4-9F6F-4192-A11C-58F380C3A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433" name="Picture 2532" descr="spacer">
          <a:extLst>
            <a:ext uri="{FF2B5EF4-FFF2-40B4-BE49-F238E27FC236}">
              <a16:creationId xmlns:a16="http://schemas.microsoft.com/office/drawing/2014/main" id="{725F1CFE-4DF7-41FB-A959-E422E4C69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34" name="Picture 2534" descr="spacer">
          <a:extLst>
            <a:ext uri="{FF2B5EF4-FFF2-40B4-BE49-F238E27FC236}">
              <a16:creationId xmlns:a16="http://schemas.microsoft.com/office/drawing/2014/main" id="{04CF795B-06AC-4424-BF36-786EEC35E2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35" name="Picture 2535" descr="spacer">
          <a:extLst>
            <a:ext uri="{FF2B5EF4-FFF2-40B4-BE49-F238E27FC236}">
              <a16:creationId xmlns:a16="http://schemas.microsoft.com/office/drawing/2014/main" id="{30B01A95-E9E6-4B24-99C4-984E90C63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36" name="Picture 2536" descr="spacer">
          <a:extLst>
            <a:ext uri="{FF2B5EF4-FFF2-40B4-BE49-F238E27FC236}">
              <a16:creationId xmlns:a16="http://schemas.microsoft.com/office/drawing/2014/main" id="{08834C9B-527D-4D4F-B623-DF894FA74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37" name="Picture 2537" descr="spacer">
          <a:extLst>
            <a:ext uri="{FF2B5EF4-FFF2-40B4-BE49-F238E27FC236}">
              <a16:creationId xmlns:a16="http://schemas.microsoft.com/office/drawing/2014/main" id="{8CF46505-61BC-4595-9ABD-7FD27E325D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38" name="Picture 2538" descr="spacer">
          <a:extLst>
            <a:ext uri="{FF2B5EF4-FFF2-40B4-BE49-F238E27FC236}">
              <a16:creationId xmlns:a16="http://schemas.microsoft.com/office/drawing/2014/main" id="{89AABDC6-EF5C-4E1E-811E-21C4EA2B52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39" name="Picture 2539" descr="spacer">
          <a:extLst>
            <a:ext uri="{FF2B5EF4-FFF2-40B4-BE49-F238E27FC236}">
              <a16:creationId xmlns:a16="http://schemas.microsoft.com/office/drawing/2014/main" id="{78D7EE02-343B-46DD-ABEC-6C8EA2DA6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40" name="Picture 2540" descr="spacer">
          <a:extLst>
            <a:ext uri="{FF2B5EF4-FFF2-40B4-BE49-F238E27FC236}">
              <a16:creationId xmlns:a16="http://schemas.microsoft.com/office/drawing/2014/main" id="{5901FF2B-2944-41BF-8318-ECAEF7A7F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41" name="Picture 2541" descr="spacer">
          <a:extLst>
            <a:ext uri="{FF2B5EF4-FFF2-40B4-BE49-F238E27FC236}">
              <a16:creationId xmlns:a16="http://schemas.microsoft.com/office/drawing/2014/main" id="{B383CF40-46D9-47C2-BDE1-D939A6733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42" name="Picture 2542" descr="spacer">
          <a:extLst>
            <a:ext uri="{FF2B5EF4-FFF2-40B4-BE49-F238E27FC236}">
              <a16:creationId xmlns:a16="http://schemas.microsoft.com/office/drawing/2014/main" id="{BEEBEA32-5A17-4759-B22E-894EC89A0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43" name="Picture 2543" descr="spacer">
          <a:extLst>
            <a:ext uri="{FF2B5EF4-FFF2-40B4-BE49-F238E27FC236}">
              <a16:creationId xmlns:a16="http://schemas.microsoft.com/office/drawing/2014/main" id="{EBC58AB3-77B5-4E67-91B7-C338B3539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44" name="Picture 2544" descr="spacer">
          <a:extLst>
            <a:ext uri="{FF2B5EF4-FFF2-40B4-BE49-F238E27FC236}">
              <a16:creationId xmlns:a16="http://schemas.microsoft.com/office/drawing/2014/main" id="{C49992A3-015F-40B5-83A7-8BDF24093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45" name="Picture 2545" descr="spacer">
          <a:extLst>
            <a:ext uri="{FF2B5EF4-FFF2-40B4-BE49-F238E27FC236}">
              <a16:creationId xmlns:a16="http://schemas.microsoft.com/office/drawing/2014/main" id="{584239EA-5FF9-4173-B847-F7310F95A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46" name="Picture 2546" descr="spacer">
          <a:extLst>
            <a:ext uri="{FF2B5EF4-FFF2-40B4-BE49-F238E27FC236}">
              <a16:creationId xmlns:a16="http://schemas.microsoft.com/office/drawing/2014/main" id="{75E51C5E-0DF4-4344-9A1A-8E9623EDBD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47" name="Picture 2547" descr="spacer">
          <a:extLst>
            <a:ext uri="{FF2B5EF4-FFF2-40B4-BE49-F238E27FC236}">
              <a16:creationId xmlns:a16="http://schemas.microsoft.com/office/drawing/2014/main" id="{627DACC7-385B-4E9C-B7D8-2C632EED88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448" name="Picture 2550" descr="spacer">
          <a:extLst>
            <a:ext uri="{FF2B5EF4-FFF2-40B4-BE49-F238E27FC236}">
              <a16:creationId xmlns:a16="http://schemas.microsoft.com/office/drawing/2014/main" id="{24340BDF-E48A-493A-9C9E-D9DF614D62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49" name="Picture 2552" descr="spacer">
          <a:extLst>
            <a:ext uri="{FF2B5EF4-FFF2-40B4-BE49-F238E27FC236}">
              <a16:creationId xmlns:a16="http://schemas.microsoft.com/office/drawing/2014/main" id="{5C603FDE-8030-47AF-8EFB-DAFAB98DA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50" name="Picture 2553" descr="spacer">
          <a:extLst>
            <a:ext uri="{FF2B5EF4-FFF2-40B4-BE49-F238E27FC236}">
              <a16:creationId xmlns:a16="http://schemas.microsoft.com/office/drawing/2014/main" id="{C712F0EA-6B79-4491-A5E4-25C6333C0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51" name="Picture 2554" descr="spacer">
          <a:extLst>
            <a:ext uri="{FF2B5EF4-FFF2-40B4-BE49-F238E27FC236}">
              <a16:creationId xmlns:a16="http://schemas.microsoft.com/office/drawing/2014/main" id="{3D4EB6F3-A582-488A-B9B0-D45889803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52" name="Picture 2555" descr="spacer">
          <a:extLst>
            <a:ext uri="{FF2B5EF4-FFF2-40B4-BE49-F238E27FC236}">
              <a16:creationId xmlns:a16="http://schemas.microsoft.com/office/drawing/2014/main" id="{3D60DB95-0AC4-465A-850C-D88B71853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53" name="Picture 2556" descr="spacer">
          <a:extLst>
            <a:ext uri="{FF2B5EF4-FFF2-40B4-BE49-F238E27FC236}">
              <a16:creationId xmlns:a16="http://schemas.microsoft.com/office/drawing/2014/main" id="{EAA66F88-481F-4322-BC37-BD5FA0F36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54" name="Picture 2557" descr="spacer">
          <a:extLst>
            <a:ext uri="{FF2B5EF4-FFF2-40B4-BE49-F238E27FC236}">
              <a16:creationId xmlns:a16="http://schemas.microsoft.com/office/drawing/2014/main" id="{419F5F2F-BF87-42BE-A488-075E4C9E85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55" name="Picture 2558" descr="spacer">
          <a:extLst>
            <a:ext uri="{FF2B5EF4-FFF2-40B4-BE49-F238E27FC236}">
              <a16:creationId xmlns:a16="http://schemas.microsoft.com/office/drawing/2014/main" id="{AB9A8A39-BA90-4222-9A29-7BC6F2A7F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56" name="Picture 2559" descr="spacer">
          <a:extLst>
            <a:ext uri="{FF2B5EF4-FFF2-40B4-BE49-F238E27FC236}">
              <a16:creationId xmlns:a16="http://schemas.microsoft.com/office/drawing/2014/main" id="{8C4E5E8B-A0A3-4450-8F50-809765CD5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57" name="Picture 2560" descr="spacer">
          <a:extLst>
            <a:ext uri="{FF2B5EF4-FFF2-40B4-BE49-F238E27FC236}">
              <a16:creationId xmlns:a16="http://schemas.microsoft.com/office/drawing/2014/main" id="{3C8EACFF-325A-4CEA-86B9-AC1DB7867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58" name="Picture 2561" descr="spacer">
          <a:extLst>
            <a:ext uri="{FF2B5EF4-FFF2-40B4-BE49-F238E27FC236}">
              <a16:creationId xmlns:a16="http://schemas.microsoft.com/office/drawing/2014/main" id="{BD9EDE5B-E004-4319-9C1A-179F855A7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59" name="Picture 2562" descr="spacer">
          <a:extLst>
            <a:ext uri="{FF2B5EF4-FFF2-40B4-BE49-F238E27FC236}">
              <a16:creationId xmlns:a16="http://schemas.microsoft.com/office/drawing/2014/main" id="{F703730D-58BA-45CF-AE51-7A4114AFF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60" name="Picture 2563" descr="spacer">
          <a:extLst>
            <a:ext uri="{FF2B5EF4-FFF2-40B4-BE49-F238E27FC236}">
              <a16:creationId xmlns:a16="http://schemas.microsoft.com/office/drawing/2014/main" id="{3135AE62-9813-4134-8AE5-E1BF8FBC0B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61" name="Picture 2564" descr="spacer">
          <a:extLst>
            <a:ext uri="{FF2B5EF4-FFF2-40B4-BE49-F238E27FC236}">
              <a16:creationId xmlns:a16="http://schemas.microsoft.com/office/drawing/2014/main" id="{F69F6468-7505-4C2B-9B62-31E710BAE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462" name="Picture 2566" descr="spacer">
          <a:extLst>
            <a:ext uri="{FF2B5EF4-FFF2-40B4-BE49-F238E27FC236}">
              <a16:creationId xmlns:a16="http://schemas.microsoft.com/office/drawing/2014/main" id="{AA3136FA-B983-47C2-9974-8DC519F4F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348615</xdr:colOff>
      <xdr:row>3</xdr:row>
      <xdr:rowOff>19050</xdr:rowOff>
    </xdr:to>
    <xdr:pic>
      <xdr:nvPicPr>
        <xdr:cNvPr id="2463" name="Picture 2567" descr="spacer">
          <a:extLst>
            <a:ext uri="{FF2B5EF4-FFF2-40B4-BE49-F238E27FC236}">
              <a16:creationId xmlns:a16="http://schemas.microsoft.com/office/drawing/2014/main" id="{862BAB07-C820-4680-9514-92BA0FB5CC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01155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464" name="Picture 2570" descr="spacer">
          <a:extLst>
            <a:ext uri="{FF2B5EF4-FFF2-40B4-BE49-F238E27FC236}">
              <a16:creationId xmlns:a16="http://schemas.microsoft.com/office/drawing/2014/main" id="{C3B26855-4797-4F42-969C-400CA5428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65" name="Picture 2572" descr="spacer">
          <a:extLst>
            <a:ext uri="{FF2B5EF4-FFF2-40B4-BE49-F238E27FC236}">
              <a16:creationId xmlns:a16="http://schemas.microsoft.com/office/drawing/2014/main" id="{BF40D8AE-6B5C-4F1D-8C97-AB5DCCA312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66" name="Picture 2573" descr="spacer">
          <a:extLst>
            <a:ext uri="{FF2B5EF4-FFF2-40B4-BE49-F238E27FC236}">
              <a16:creationId xmlns:a16="http://schemas.microsoft.com/office/drawing/2014/main" id="{5062F9C9-DE8F-47BE-85E5-155876020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67" name="Picture 2574" descr="spacer">
          <a:extLst>
            <a:ext uri="{FF2B5EF4-FFF2-40B4-BE49-F238E27FC236}">
              <a16:creationId xmlns:a16="http://schemas.microsoft.com/office/drawing/2014/main" id="{1F864D9A-9FE5-44EE-8030-00351BD60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68" name="Picture 2575" descr="spacer">
          <a:extLst>
            <a:ext uri="{FF2B5EF4-FFF2-40B4-BE49-F238E27FC236}">
              <a16:creationId xmlns:a16="http://schemas.microsoft.com/office/drawing/2014/main" id="{7A41C855-2BA5-439C-A5DE-C77B9F49A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69" name="Picture 2576" descr="spacer">
          <a:extLst>
            <a:ext uri="{FF2B5EF4-FFF2-40B4-BE49-F238E27FC236}">
              <a16:creationId xmlns:a16="http://schemas.microsoft.com/office/drawing/2014/main" id="{48BD98FB-141A-4A66-B637-2BEB219D6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70" name="Picture 2577" descr="spacer">
          <a:extLst>
            <a:ext uri="{FF2B5EF4-FFF2-40B4-BE49-F238E27FC236}">
              <a16:creationId xmlns:a16="http://schemas.microsoft.com/office/drawing/2014/main" id="{B5CF0028-973B-4BE0-A335-29BA8C8E1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71" name="Picture 2578" descr="spacer">
          <a:extLst>
            <a:ext uri="{FF2B5EF4-FFF2-40B4-BE49-F238E27FC236}">
              <a16:creationId xmlns:a16="http://schemas.microsoft.com/office/drawing/2014/main" id="{B95428CD-B37D-4E26-AAC5-D28CCD24C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72" name="Picture 2579" descr="spacer">
          <a:extLst>
            <a:ext uri="{FF2B5EF4-FFF2-40B4-BE49-F238E27FC236}">
              <a16:creationId xmlns:a16="http://schemas.microsoft.com/office/drawing/2014/main" id="{FD07A8B5-7AC2-4ECA-B0ED-4670DDEC6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73" name="Picture 2580" descr="spacer">
          <a:extLst>
            <a:ext uri="{FF2B5EF4-FFF2-40B4-BE49-F238E27FC236}">
              <a16:creationId xmlns:a16="http://schemas.microsoft.com/office/drawing/2014/main" id="{0225063C-0E17-474C-B245-C6E0EC486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74" name="Picture 2581" descr="spacer">
          <a:extLst>
            <a:ext uri="{FF2B5EF4-FFF2-40B4-BE49-F238E27FC236}">
              <a16:creationId xmlns:a16="http://schemas.microsoft.com/office/drawing/2014/main" id="{B99A21F7-6854-4E0A-BC4A-236D8FD15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75" name="Picture 2582" descr="spacer">
          <a:extLst>
            <a:ext uri="{FF2B5EF4-FFF2-40B4-BE49-F238E27FC236}">
              <a16:creationId xmlns:a16="http://schemas.microsoft.com/office/drawing/2014/main" id="{5BA8FE5D-1B54-4869-B397-CD18809D4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76" name="Picture 2583" descr="spacer">
          <a:extLst>
            <a:ext uri="{FF2B5EF4-FFF2-40B4-BE49-F238E27FC236}">
              <a16:creationId xmlns:a16="http://schemas.microsoft.com/office/drawing/2014/main" id="{6F236869-F85F-403D-838A-F5D449166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77" name="Picture 2584" descr="spacer">
          <a:extLst>
            <a:ext uri="{FF2B5EF4-FFF2-40B4-BE49-F238E27FC236}">
              <a16:creationId xmlns:a16="http://schemas.microsoft.com/office/drawing/2014/main" id="{E85D1E1E-CD89-4F6E-8948-8B99C002E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78" name="Picture 2585" descr="spacer">
          <a:extLst>
            <a:ext uri="{FF2B5EF4-FFF2-40B4-BE49-F238E27FC236}">
              <a16:creationId xmlns:a16="http://schemas.microsoft.com/office/drawing/2014/main" id="{6392D732-44DE-49DA-9849-AD0730BCA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479" name="Picture 2588" descr="spacer">
          <a:extLst>
            <a:ext uri="{FF2B5EF4-FFF2-40B4-BE49-F238E27FC236}">
              <a16:creationId xmlns:a16="http://schemas.microsoft.com/office/drawing/2014/main" id="{3F8EC761-D5A9-4531-BE4E-9368FBE48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80" name="Picture 2590" descr="spacer">
          <a:extLst>
            <a:ext uri="{FF2B5EF4-FFF2-40B4-BE49-F238E27FC236}">
              <a16:creationId xmlns:a16="http://schemas.microsoft.com/office/drawing/2014/main" id="{7DD6C1E1-0A87-4C04-B507-5BCD3E860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81" name="Picture 2591" descr="spacer">
          <a:extLst>
            <a:ext uri="{FF2B5EF4-FFF2-40B4-BE49-F238E27FC236}">
              <a16:creationId xmlns:a16="http://schemas.microsoft.com/office/drawing/2014/main" id="{BB012739-6C2A-403E-B6D5-3BD1C10A3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82" name="Picture 2592" descr="spacer">
          <a:extLst>
            <a:ext uri="{FF2B5EF4-FFF2-40B4-BE49-F238E27FC236}">
              <a16:creationId xmlns:a16="http://schemas.microsoft.com/office/drawing/2014/main" id="{3292212B-C958-450E-86A6-B6E636D71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83" name="Picture 2593" descr="spacer">
          <a:extLst>
            <a:ext uri="{FF2B5EF4-FFF2-40B4-BE49-F238E27FC236}">
              <a16:creationId xmlns:a16="http://schemas.microsoft.com/office/drawing/2014/main" id="{0875F62A-85F9-49ED-A97C-DD20B3C96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84" name="Picture 2594" descr="spacer">
          <a:extLst>
            <a:ext uri="{FF2B5EF4-FFF2-40B4-BE49-F238E27FC236}">
              <a16:creationId xmlns:a16="http://schemas.microsoft.com/office/drawing/2014/main" id="{2079DEAE-CA1C-49D1-B429-E08EC06FA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85" name="Picture 2595" descr="spacer">
          <a:extLst>
            <a:ext uri="{FF2B5EF4-FFF2-40B4-BE49-F238E27FC236}">
              <a16:creationId xmlns:a16="http://schemas.microsoft.com/office/drawing/2014/main" id="{B215A283-F302-4C72-8B05-2F03D8B4E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86" name="Picture 2596" descr="spacer">
          <a:extLst>
            <a:ext uri="{FF2B5EF4-FFF2-40B4-BE49-F238E27FC236}">
              <a16:creationId xmlns:a16="http://schemas.microsoft.com/office/drawing/2014/main" id="{E09251DC-43DD-4E9F-8D6B-5EB958DE2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87" name="Picture 2597" descr="spacer">
          <a:extLst>
            <a:ext uri="{FF2B5EF4-FFF2-40B4-BE49-F238E27FC236}">
              <a16:creationId xmlns:a16="http://schemas.microsoft.com/office/drawing/2014/main" id="{19D61607-228D-43A9-9F25-D4CEBB5F3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88" name="Picture 2598" descr="spacer">
          <a:extLst>
            <a:ext uri="{FF2B5EF4-FFF2-40B4-BE49-F238E27FC236}">
              <a16:creationId xmlns:a16="http://schemas.microsoft.com/office/drawing/2014/main" id="{9A448735-F85F-4755-8B6E-8F804FF28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89" name="Picture 2599" descr="spacer">
          <a:extLst>
            <a:ext uri="{FF2B5EF4-FFF2-40B4-BE49-F238E27FC236}">
              <a16:creationId xmlns:a16="http://schemas.microsoft.com/office/drawing/2014/main" id="{FC8A3522-20FB-4262-9288-FA7C0F022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90" name="Picture 2600" descr="spacer">
          <a:extLst>
            <a:ext uri="{FF2B5EF4-FFF2-40B4-BE49-F238E27FC236}">
              <a16:creationId xmlns:a16="http://schemas.microsoft.com/office/drawing/2014/main" id="{7CDA440C-EFDC-453B-BD1B-9919BCE06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91" name="Picture 2601" descr="spacer">
          <a:extLst>
            <a:ext uri="{FF2B5EF4-FFF2-40B4-BE49-F238E27FC236}">
              <a16:creationId xmlns:a16="http://schemas.microsoft.com/office/drawing/2014/main" id="{F8FA1228-A3C1-4548-A8D9-C5DDF247C1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92" name="Picture 2602" descr="spacer">
          <a:extLst>
            <a:ext uri="{FF2B5EF4-FFF2-40B4-BE49-F238E27FC236}">
              <a16:creationId xmlns:a16="http://schemas.microsoft.com/office/drawing/2014/main" id="{9351B31B-5519-4BBA-A895-E3214697D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493" name="Picture 2605" descr="spacer">
          <a:extLst>
            <a:ext uri="{FF2B5EF4-FFF2-40B4-BE49-F238E27FC236}">
              <a16:creationId xmlns:a16="http://schemas.microsoft.com/office/drawing/2014/main" id="{E948EDFD-8255-463E-9E49-20ACCD1AD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94" name="Picture 2607" descr="spacer">
          <a:extLst>
            <a:ext uri="{FF2B5EF4-FFF2-40B4-BE49-F238E27FC236}">
              <a16:creationId xmlns:a16="http://schemas.microsoft.com/office/drawing/2014/main" id="{306E841B-250A-4951-A192-75856D66E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95" name="Picture 2608" descr="spacer">
          <a:extLst>
            <a:ext uri="{FF2B5EF4-FFF2-40B4-BE49-F238E27FC236}">
              <a16:creationId xmlns:a16="http://schemas.microsoft.com/office/drawing/2014/main" id="{AFC9408B-3C3A-4065-BF6B-FDFF72254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96" name="Picture 2609" descr="spacer">
          <a:extLst>
            <a:ext uri="{FF2B5EF4-FFF2-40B4-BE49-F238E27FC236}">
              <a16:creationId xmlns:a16="http://schemas.microsoft.com/office/drawing/2014/main" id="{02A8654E-18C6-4B26-9358-70354D28B0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97" name="Picture 2610" descr="spacer">
          <a:extLst>
            <a:ext uri="{FF2B5EF4-FFF2-40B4-BE49-F238E27FC236}">
              <a16:creationId xmlns:a16="http://schemas.microsoft.com/office/drawing/2014/main" id="{83BC7507-5511-4677-BC96-D3D01F9E1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98" name="Picture 2611" descr="spacer">
          <a:extLst>
            <a:ext uri="{FF2B5EF4-FFF2-40B4-BE49-F238E27FC236}">
              <a16:creationId xmlns:a16="http://schemas.microsoft.com/office/drawing/2014/main" id="{183163F8-748C-45E1-ACBB-267CD75FD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499" name="Picture 2612" descr="spacer">
          <a:extLst>
            <a:ext uri="{FF2B5EF4-FFF2-40B4-BE49-F238E27FC236}">
              <a16:creationId xmlns:a16="http://schemas.microsoft.com/office/drawing/2014/main" id="{445EBF1F-CB5B-4F36-9E68-F43AEBE97E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00" name="Picture 2613" descr="spacer">
          <a:extLst>
            <a:ext uri="{FF2B5EF4-FFF2-40B4-BE49-F238E27FC236}">
              <a16:creationId xmlns:a16="http://schemas.microsoft.com/office/drawing/2014/main" id="{C1C61F5E-1468-4060-8F55-1A3C754BB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01" name="Picture 2614" descr="spacer">
          <a:extLst>
            <a:ext uri="{FF2B5EF4-FFF2-40B4-BE49-F238E27FC236}">
              <a16:creationId xmlns:a16="http://schemas.microsoft.com/office/drawing/2014/main" id="{D7DFBE1F-4ED1-4496-92DC-0E6E66A823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02" name="Picture 2615" descr="spacer">
          <a:extLst>
            <a:ext uri="{FF2B5EF4-FFF2-40B4-BE49-F238E27FC236}">
              <a16:creationId xmlns:a16="http://schemas.microsoft.com/office/drawing/2014/main" id="{DECF67B5-8A1D-4407-B5E8-622F650EE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03" name="Picture 2616" descr="spacer">
          <a:extLst>
            <a:ext uri="{FF2B5EF4-FFF2-40B4-BE49-F238E27FC236}">
              <a16:creationId xmlns:a16="http://schemas.microsoft.com/office/drawing/2014/main" id="{2D199C30-2392-43AB-A391-98435E9D0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04" name="Picture 2617" descr="spacer">
          <a:extLst>
            <a:ext uri="{FF2B5EF4-FFF2-40B4-BE49-F238E27FC236}">
              <a16:creationId xmlns:a16="http://schemas.microsoft.com/office/drawing/2014/main" id="{610AC270-0764-4436-AC26-44DAC1767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05" name="Picture 2618" descr="spacer">
          <a:extLst>
            <a:ext uri="{FF2B5EF4-FFF2-40B4-BE49-F238E27FC236}">
              <a16:creationId xmlns:a16="http://schemas.microsoft.com/office/drawing/2014/main" id="{2BF4EBB0-950E-4EB1-BA58-D1104124F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06" name="Picture 2619" descr="spacer">
          <a:extLst>
            <a:ext uri="{FF2B5EF4-FFF2-40B4-BE49-F238E27FC236}">
              <a16:creationId xmlns:a16="http://schemas.microsoft.com/office/drawing/2014/main" id="{CC705261-8D52-4A7D-A9AD-3813BD4C3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507" name="Picture 2622" descr="spacer">
          <a:extLst>
            <a:ext uri="{FF2B5EF4-FFF2-40B4-BE49-F238E27FC236}">
              <a16:creationId xmlns:a16="http://schemas.microsoft.com/office/drawing/2014/main" id="{FFE9AA57-B837-4983-9B37-C0DE4A7C7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08" name="Picture 2624" descr="spacer">
          <a:extLst>
            <a:ext uri="{FF2B5EF4-FFF2-40B4-BE49-F238E27FC236}">
              <a16:creationId xmlns:a16="http://schemas.microsoft.com/office/drawing/2014/main" id="{3A1C00FD-0962-4C47-B0DA-8B3BBD484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09" name="Picture 2625" descr="spacer">
          <a:extLst>
            <a:ext uri="{FF2B5EF4-FFF2-40B4-BE49-F238E27FC236}">
              <a16:creationId xmlns:a16="http://schemas.microsoft.com/office/drawing/2014/main" id="{E7B06B3B-B4B3-4F2A-97AE-F643CC80A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10" name="Picture 2626" descr="spacer">
          <a:extLst>
            <a:ext uri="{FF2B5EF4-FFF2-40B4-BE49-F238E27FC236}">
              <a16:creationId xmlns:a16="http://schemas.microsoft.com/office/drawing/2014/main" id="{C7D8131A-2B19-4690-B7F7-B913CE6D9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11" name="Picture 2627" descr="spacer">
          <a:extLst>
            <a:ext uri="{FF2B5EF4-FFF2-40B4-BE49-F238E27FC236}">
              <a16:creationId xmlns:a16="http://schemas.microsoft.com/office/drawing/2014/main" id="{91FAFC40-216A-48B0-92A2-3D60D1953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12" name="Picture 2628" descr="spacer">
          <a:extLst>
            <a:ext uri="{FF2B5EF4-FFF2-40B4-BE49-F238E27FC236}">
              <a16:creationId xmlns:a16="http://schemas.microsoft.com/office/drawing/2014/main" id="{659F339B-4CBC-4F50-9E72-647ADEB38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13" name="Picture 2629" descr="spacer">
          <a:extLst>
            <a:ext uri="{FF2B5EF4-FFF2-40B4-BE49-F238E27FC236}">
              <a16:creationId xmlns:a16="http://schemas.microsoft.com/office/drawing/2014/main" id="{25ADB7F2-ADC8-4926-98DE-426AADD755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14" name="Picture 2630" descr="spacer">
          <a:extLst>
            <a:ext uri="{FF2B5EF4-FFF2-40B4-BE49-F238E27FC236}">
              <a16:creationId xmlns:a16="http://schemas.microsoft.com/office/drawing/2014/main" id="{2000F04D-4EBB-4F41-89C6-E529267F8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15" name="Picture 2631" descr="spacer">
          <a:extLst>
            <a:ext uri="{FF2B5EF4-FFF2-40B4-BE49-F238E27FC236}">
              <a16:creationId xmlns:a16="http://schemas.microsoft.com/office/drawing/2014/main" id="{B82034D3-D5D5-431B-9C47-8AAEB3A69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16" name="Picture 2632" descr="spacer">
          <a:extLst>
            <a:ext uri="{FF2B5EF4-FFF2-40B4-BE49-F238E27FC236}">
              <a16:creationId xmlns:a16="http://schemas.microsoft.com/office/drawing/2014/main" id="{A06D0447-3B56-4FDA-8B89-1E6E30E4F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17" name="Picture 2633" descr="spacer">
          <a:extLst>
            <a:ext uri="{FF2B5EF4-FFF2-40B4-BE49-F238E27FC236}">
              <a16:creationId xmlns:a16="http://schemas.microsoft.com/office/drawing/2014/main" id="{88020BEB-02A8-48C4-A05F-99734F349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18" name="Picture 2634" descr="spacer">
          <a:extLst>
            <a:ext uri="{FF2B5EF4-FFF2-40B4-BE49-F238E27FC236}">
              <a16:creationId xmlns:a16="http://schemas.microsoft.com/office/drawing/2014/main" id="{70354F7A-C484-4629-96D7-70F9300EF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19" name="Picture 2635" descr="spacer">
          <a:extLst>
            <a:ext uri="{FF2B5EF4-FFF2-40B4-BE49-F238E27FC236}">
              <a16:creationId xmlns:a16="http://schemas.microsoft.com/office/drawing/2014/main" id="{35D31862-DCD2-4843-A6E5-C5DA8DDF2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20" name="Picture 2636" descr="spacer">
          <a:extLst>
            <a:ext uri="{FF2B5EF4-FFF2-40B4-BE49-F238E27FC236}">
              <a16:creationId xmlns:a16="http://schemas.microsoft.com/office/drawing/2014/main" id="{D44D1289-0CDA-4BED-8D56-C9C49AF4B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21" name="Picture 2637" descr="spacer">
          <a:extLst>
            <a:ext uri="{FF2B5EF4-FFF2-40B4-BE49-F238E27FC236}">
              <a16:creationId xmlns:a16="http://schemas.microsoft.com/office/drawing/2014/main" id="{5972D6F9-37EA-4C1D-B536-D1B7800550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522" name="Picture 2640" descr="spacer">
          <a:extLst>
            <a:ext uri="{FF2B5EF4-FFF2-40B4-BE49-F238E27FC236}">
              <a16:creationId xmlns:a16="http://schemas.microsoft.com/office/drawing/2014/main" id="{C4512A45-C47D-4476-B8E1-2136629C1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23" name="Picture 2642" descr="spacer">
          <a:extLst>
            <a:ext uri="{FF2B5EF4-FFF2-40B4-BE49-F238E27FC236}">
              <a16:creationId xmlns:a16="http://schemas.microsoft.com/office/drawing/2014/main" id="{32C0862A-7E99-4651-9866-6A85E1C28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24" name="Picture 2643" descr="spacer">
          <a:extLst>
            <a:ext uri="{FF2B5EF4-FFF2-40B4-BE49-F238E27FC236}">
              <a16:creationId xmlns:a16="http://schemas.microsoft.com/office/drawing/2014/main" id="{0CE81F18-6A72-44E6-8E25-8E5D98E02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25" name="Picture 2644" descr="spacer">
          <a:extLst>
            <a:ext uri="{FF2B5EF4-FFF2-40B4-BE49-F238E27FC236}">
              <a16:creationId xmlns:a16="http://schemas.microsoft.com/office/drawing/2014/main" id="{A1BD7AB2-9243-4073-94B7-2BE041E799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26" name="Picture 2645" descr="spacer">
          <a:extLst>
            <a:ext uri="{FF2B5EF4-FFF2-40B4-BE49-F238E27FC236}">
              <a16:creationId xmlns:a16="http://schemas.microsoft.com/office/drawing/2014/main" id="{E879EBB7-BB3B-4613-AF8F-23E0FFE88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27" name="Picture 2646" descr="spacer">
          <a:extLst>
            <a:ext uri="{FF2B5EF4-FFF2-40B4-BE49-F238E27FC236}">
              <a16:creationId xmlns:a16="http://schemas.microsoft.com/office/drawing/2014/main" id="{58AAA2F2-E3D5-4BCC-B40E-5E114861B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28" name="Picture 2647" descr="spacer">
          <a:extLst>
            <a:ext uri="{FF2B5EF4-FFF2-40B4-BE49-F238E27FC236}">
              <a16:creationId xmlns:a16="http://schemas.microsoft.com/office/drawing/2014/main" id="{18284305-ECD7-4FA5-97DC-80AE820CC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29" name="Picture 2648" descr="spacer">
          <a:extLst>
            <a:ext uri="{FF2B5EF4-FFF2-40B4-BE49-F238E27FC236}">
              <a16:creationId xmlns:a16="http://schemas.microsoft.com/office/drawing/2014/main" id="{5F0DDBBD-0A5F-4BED-BE8E-CC6B2B958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30" name="Picture 2649" descr="spacer">
          <a:extLst>
            <a:ext uri="{FF2B5EF4-FFF2-40B4-BE49-F238E27FC236}">
              <a16:creationId xmlns:a16="http://schemas.microsoft.com/office/drawing/2014/main" id="{C158237A-FA54-49B2-BC07-B2FB9D987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31" name="Picture 2650" descr="spacer">
          <a:extLst>
            <a:ext uri="{FF2B5EF4-FFF2-40B4-BE49-F238E27FC236}">
              <a16:creationId xmlns:a16="http://schemas.microsoft.com/office/drawing/2014/main" id="{610A4D47-FB54-4A07-A92D-0F727723B1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32" name="Picture 2651" descr="spacer">
          <a:extLst>
            <a:ext uri="{FF2B5EF4-FFF2-40B4-BE49-F238E27FC236}">
              <a16:creationId xmlns:a16="http://schemas.microsoft.com/office/drawing/2014/main" id="{E4D9DEA8-5518-4DB8-90C8-0563C6228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33" name="Picture 2652" descr="spacer">
          <a:extLst>
            <a:ext uri="{FF2B5EF4-FFF2-40B4-BE49-F238E27FC236}">
              <a16:creationId xmlns:a16="http://schemas.microsoft.com/office/drawing/2014/main" id="{21DB92D7-0876-4063-AC7C-969CC4F42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34" name="Picture 2653" descr="spacer">
          <a:extLst>
            <a:ext uri="{FF2B5EF4-FFF2-40B4-BE49-F238E27FC236}">
              <a16:creationId xmlns:a16="http://schemas.microsoft.com/office/drawing/2014/main" id="{C3714367-EE62-40AE-8131-A74BF7942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35" name="Picture 2654" descr="spacer">
          <a:extLst>
            <a:ext uri="{FF2B5EF4-FFF2-40B4-BE49-F238E27FC236}">
              <a16:creationId xmlns:a16="http://schemas.microsoft.com/office/drawing/2014/main" id="{59516148-8AD8-4341-A25C-24BDF7156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536" name="Picture 2657" descr="spacer">
          <a:extLst>
            <a:ext uri="{FF2B5EF4-FFF2-40B4-BE49-F238E27FC236}">
              <a16:creationId xmlns:a16="http://schemas.microsoft.com/office/drawing/2014/main" id="{46D5D20D-C28A-430C-974F-4B8F2100D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37" name="Picture 2659" descr="spacer">
          <a:extLst>
            <a:ext uri="{FF2B5EF4-FFF2-40B4-BE49-F238E27FC236}">
              <a16:creationId xmlns:a16="http://schemas.microsoft.com/office/drawing/2014/main" id="{96A907C2-AEE7-45DF-BAF9-C0FE57FFC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38" name="Picture 2660" descr="spacer">
          <a:extLst>
            <a:ext uri="{FF2B5EF4-FFF2-40B4-BE49-F238E27FC236}">
              <a16:creationId xmlns:a16="http://schemas.microsoft.com/office/drawing/2014/main" id="{1E741B31-DE2A-4CC3-B45B-729E61439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39" name="Picture 2661" descr="spacer">
          <a:extLst>
            <a:ext uri="{FF2B5EF4-FFF2-40B4-BE49-F238E27FC236}">
              <a16:creationId xmlns:a16="http://schemas.microsoft.com/office/drawing/2014/main" id="{18510AA5-5FE7-486A-8781-C03458160A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40" name="Picture 2662" descr="spacer">
          <a:extLst>
            <a:ext uri="{FF2B5EF4-FFF2-40B4-BE49-F238E27FC236}">
              <a16:creationId xmlns:a16="http://schemas.microsoft.com/office/drawing/2014/main" id="{00A72FC1-269F-4ED8-ACE1-21C1D2E84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41" name="Picture 2663" descr="spacer">
          <a:extLst>
            <a:ext uri="{FF2B5EF4-FFF2-40B4-BE49-F238E27FC236}">
              <a16:creationId xmlns:a16="http://schemas.microsoft.com/office/drawing/2014/main" id="{C6DB2EF3-1A01-4FF8-805D-A31F439C1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42" name="Picture 2664" descr="spacer">
          <a:extLst>
            <a:ext uri="{FF2B5EF4-FFF2-40B4-BE49-F238E27FC236}">
              <a16:creationId xmlns:a16="http://schemas.microsoft.com/office/drawing/2014/main" id="{F09501F6-449F-4E6F-B0CD-D32CF95F1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43" name="Picture 2665" descr="spacer">
          <a:extLst>
            <a:ext uri="{FF2B5EF4-FFF2-40B4-BE49-F238E27FC236}">
              <a16:creationId xmlns:a16="http://schemas.microsoft.com/office/drawing/2014/main" id="{394A495B-3D8B-45E7-86DD-E272544C1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44" name="Picture 2666" descr="spacer">
          <a:extLst>
            <a:ext uri="{FF2B5EF4-FFF2-40B4-BE49-F238E27FC236}">
              <a16:creationId xmlns:a16="http://schemas.microsoft.com/office/drawing/2014/main" id="{95450CE8-9E1F-4AFB-B0CD-E0CDA9D96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45" name="Picture 2667" descr="spacer">
          <a:extLst>
            <a:ext uri="{FF2B5EF4-FFF2-40B4-BE49-F238E27FC236}">
              <a16:creationId xmlns:a16="http://schemas.microsoft.com/office/drawing/2014/main" id="{E5B8391C-1B13-4C20-87E3-5E1D99106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46" name="Picture 2668" descr="spacer">
          <a:extLst>
            <a:ext uri="{FF2B5EF4-FFF2-40B4-BE49-F238E27FC236}">
              <a16:creationId xmlns:a16="http://schemas.microsoft.com/office/drawing/2014/main" id="{6023EA50-043F-4C28-9B3B-C6FE05214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47" name="Picture 2669" descr="spacer">
          <a:extLst>
            <a:ext uri="{FF2B5EF4-FFF2-40B4-BE49-F238E27FC236}">
              <a16:creationId xmlns:a16="http://schemas.microsoft.com/office/drawing/2014/main" id="{03D6503E-B032-4B84-A26B-6D47CB8FD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48" name="Picture 2670" descr="spacer">
          <a:extLst>
            <a:ext uri="{FF2B5EF4-FFF2-40B4-BE49-F238E27FC236}">
              <a16:creationId xmlns:a16="http://schemas.microsoft.com/office/drawing/2014/main" id="{5D61CCCC-31C5-4202-9D00-A19BD9100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49" name="Picture 2671" descr="spacer">
          <a:extLst>
            <a:ext uri="{FF2B5EF4-FFF2-40B4-BE49-F238E27FC236}">
              <a16:creationId xmlns:a16="http://schemas.microsoft.com/office/drawing/2014/main" id="{0F0A475E-7FF2-4D6C-A9C9-679C73890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50" name="Picture 2672" descr="spacer">
          <a:extLst>
            <a:ext uri="{FF2B5EF4-FFF2-40B4-BE49-F238E27FC236}">
              <a16:creationId xmlns:a16="http://schemas.microsoft.com/office/drawing/2014/main" id="{9EED107B-EDEC-4FD1-BB54-24221870E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551" name="Picture 2675" descr="spacer">
          <a:extLst>
            <a:ext uri="{FF2B5EF4-FFF2-40B4-BE49-F238E27FC236}">
              <a16:creationId xmlns:a16="http://schemas.microsoft.com/office/drawing/2014/main" id="{6DE0EEEF-3E4A-4274-B336-DA2E3720F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52" name="Picture 2677" descr="spacer">
          <a:extLst>
            <a:ext uri="{FF2B5EF4-FFF2-40B4-BE49-F238E27FC236}">
              <a16:creationId xmlns:a16="http://schemas.microsoft.com/office/drawing/2014/main" id="{FDEEB633-E054-49E9-B85C-0D6075E44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53" name="Picture 2678" descr="spacer">
          <a:extLst>
            <a:ext uri="{FF2B5EF4-FFF2-40B4-BE49-F238E27FC236}">
              <a16:creationId xmlns:a16="http://schemas.microsoft.com/office/drawing/2014/main" id="{BB6487B2-4AE4-40FE-83AA-151CE24FD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54" name="Picture 2679" descr="spacer">
          <a:extLst>
            <a:ext uri="{FF2B5EF4-FFF2-40B4-BE49-F238E27FC236}">
              <a16:creationId xmlns:a16="http://schemas.microsoft.com/office/drawing/2014/main" id="{1B84BE44-534B-4511-A9A6-72BBB75EB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55" name="Picture 2680" descr="spacer">
          <a:extLst>
            <a:ext uri="{FF2B5EF4-FFF2-40B4-BE49-F238E27FC236}">
              <a16:creationId xmlns:a16="http://schemas.microsoft.com/office/drawing/2014/main" id="{D35A2102-CFC1-4388-99AB-8C60B73B1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56" name="Picture 2681" descr="spacer">
          <a:extLst>
            <a:ext uri="{FF2B5EF4-FFF2-40B4-BE49-F238E27FC236}">
              <a16:creationId xmlns:a16="http://schemas.microsoft.com/office/drawing/2014/main" id="{EFF3E91C-D03F-49A7-BBEC-9C8ED0EB1D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57" name="Picture 2682" descr="spacer">
          <a:extLst>
            <a:ext uri="{FF2B5EF4-FFF2-40B4-BE49-F238E27FC236}">
              <a16:creationId xmlns:a16="http://schemas.microsoft.com/office/drawing/2014/main" id="{FAB825A7-75B5-44A4-9D4A-6B3D3B7CB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58" name="Picture 2683" descr="spacer">
          <a:extLst>
            <a:ext uri="{FF2B5EF4-FFF2-40B4-BE49-F238E27FC236}">
              <a16:creationId xmlns:a16="http://schemas.microsoft.com/office/drawing/2014/main" id="{FF194EBA-39AE-40DA-9278-96E885B336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59" name="Picture 2684" descr="spacer">
          <a:extLst>
            <a:ext uri="{FF2B5EF4-FFF2-40B4-BE49-F238E27FC236}">
              <a16:creationId xmlns:a16="http://schemas.microsoft.com/office/drawing/2014/main" id="{E5A6644A-1723-49A0-8091-5C1684A4B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60" name="Picture 2685" descr="spacer">
          <a:extLst>
            <a:ext uri="{FF2B5EF4-FFF2-40B4-BE49-F238E27FC236}">
              <a16:creationId xmlns:a16="http://schemas.microsoft.com/office/drawing/2014/main" id="{B96A5F0F-E308-430D-A67F-5911F9824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61" name="Picture 2686" descr="spacer">
          <a:extLst>
            <a:ext uri="{FF2B5EF4-FFF2-40B4-BE49-F238E27FC236}">
              <a16:creationId xmlns:a16="http://schemas.microsoft.com/office/drawing/2014/main" id="{D4C8271A-A85F-42ED-B501-B01AD8857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62" name="Picture 2687" descr="spacer">
          <a:extLst>
            <a:ext uri="{FF2B5EF4-FFF2-40B4-BE49-F238E27FC236}">
              <a16:creationId xmlns:a16="http://schemas.microsoft.com/office/drawing/2014/main" id="{903149D4-2FC1-4CC8-B142-AE6E4DFF4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63" name="Picture 2688" descr="spacer">
          <a:extLst>
            <a:ext uri="{FF2B5EF4-FFF2-40B4-BE49-F238E27FC236}">
              <a16:creationId xmlns:a16="http://schemas.microsoft.com/office/drawing/2014/main" id="{A54D1716-3704-4139-9C88-FE8EED250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64" name="Picture 2689" descr="spacer">
          <a:extLst>
            <a:ext uri="{FF2B5EF4-FFF2-40B4-BE49-F238E27FC236}">
              <a16:creationId xmlns:a16="http://schemas.microsoft.com/office/drawing/2014/main" id="{6D089535-BF74-4665-8615-59745D732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65" name="Picture 2690" descr="spacer">
          <a:extLst>
            <a:ext uri="{FF2B5EF4-FFF2-40B4-BE49-F238E27FC236}">
              <a16:creationId xmlns:a16="http://schemas.microsoft.com/office/drawing/2014/main" id="{2076583B-CCB2-4827-AEA9-578FE7C3D2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566" name="Picture 2693" descr="spacer">
          <a:extLst>
            <a:ext uri="{FF2B5EF4-FFF2-40B4-BE49-F238E27FC236}">
              <a16:creationId xmlns:a16="http://schemas.microsoft.com/office/drawing/2014/main" id="{B48D7C0A-A316-4571-9CD1-77939B093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67" name="Picture 2695" descr="spacer">
          <a:extLst>
            <a:ext uri="{FF2B5EF4-FFF2-40B4-BE49-F238E27FC236}">
              <a16:creationId xmlns:a16="http://schemas.microsoft.com/office/drawing/2014/main" id="{39DDDB0B-D6FA-4597-90C0-0D00AE683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68" name="Picture 2696" descr="spacer">
          <a:extLst>
            <a:ext uri="{FF2B5EF4-FFF2-40B4-BE49-F238E27FC236}">
              <a16:creationId xmlns:a16="http://schemas.microsoft.com/office/drawing/2014/main" id="{891F3F22-E027-48AC-9B8C-184F4BD7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69" name="Picture 2697" descr="spacer">
          <a:extLst>
            <a:ext uri="{FF2B5EF4-FFF2-40B4-BE49-F238E27FC236}">
              <a16:creationId xmlns:a16="http://schemas.microsoft.com/office/drawing/2014/main" id="{0C9D8B36-D949-4FEE-B016-3D5729D8A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70" name="Picture 2698" descr="spacer">
          <a:extLst>
            <a:ext uri="{FF2B5EF4-FFF2-40B4-BE49-F238E27FC236}">
              <a16:creationId xmlns:a16="http://schemas.microsoft.com/office/drawing/2014/main" id="{E0F319EB-B95A-40EF-97B9-AAF387E68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71" name="Picture 2699" descr="spacer">
          <a:extLst>
            <a:ext uri="{FF2B5EF4-FFF2-40B4-BE49-F238E27FC236}">
              <a16:creationId xmlns:a16="http://schemas.microsoft.com/office/drawing/2014/main" id="{7F5BCDF8-F02B-48C9-829A-D99EF5869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72" name="Picture 2700" descr="spacer">
          <a:extLst>
            <a:ext uri="{FF2B5EF4-FFF2-40B4-BE49-F238E27FC236}">
              <a16:creationId xmlns:a16="http://schemas.microsoft.com/office/drawing/2014/main" id="{B2925096-63C3-4E7B-BDED-E7139E5E9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73" name="Picture 2701" descr="spacer">
          <a:extLst>
            <a:ext uri="{FF2B5EF4-FFF2-40B4-BE49-F238E27FC236}">
              <a16:creationId xmlns:a16="http://schemas.microsoft.com/office/drawing/2014/main" id="{8671B73B-5D94-42C1-BF54-2A0815F88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74" name="Picture 2702" descr="spacer">
          <a:extLst>
            <a:ext uri="{FF2B5EF4-FFF2-40B4-BE49-F238E27FC236}">
              <a16:creationId xmlns:a16="http://schemas.microsoft.com/office/drawing/2014/main" id="{EE068CBD-86AD-4D7D-A19E-61F0D8C6F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75" name="Picture 2703" descr="spacer">
          <a:extLst>
            <a:ext uri="{FF2B5EF4-FFF2-40B4-BE49-F238E27FC236}">
              <a16:creationId xmlns:a16="http://schemas.microsoft.com/office/drawing/2014/main" id="{28C6D0C7-C241-4FAE-A751-27E30DBE8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76" name="Picture 2704" descr="spacer">
          <a:extLst>
            <a:ext uri="{FF2B5EF4-FFF2-40B4-BE49-F238E27FC236}">
              <a16:creationId xmlns:a16="http://schemas.microsoft.com/office/drawing/2014/main" id="{52B8FAB2-C248-41A6-AA63-4ED08B2242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77" name="Picture 2705" descr="spacer">
          <a:extLst>
            <a:ext uri="{FF2B5EF4-FFF2-40B4-BE49-F238E27FC236}">
              <a16:creationId xmlns:a16="http://schemas.microsoft.com/office/drawing/2014/main" id="{14820C55-8036-4B68-81DE-80D0C10CD4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78" name="Picture 2706" descr="spacer">
          <a:extLst>
            <a:ext uri="{FF2B5EF4-FFF2-40B4-BE49-F238E27FC236}">
              <a16:creationId xmlns:a16="http://schemas.microsoft.com/office/drawing/2014/main" id="{5C421CED-BD04-4D50-BCA0-510ADD238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79" name="Picture 2707" descr="spacer">
          <a:extLst>
            <a:ext uri="{FF2B5EF4-FFF2-40B4-BE49-F238E27FC236}">
              <a16:creationId xmlns:a16="http://schemas.microsoft.com/office/drawing/2014/main" id="{6BE757EF-5DEC-4D63-B604-9ABF60482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80" name="Picture 2708" descr="spacer">
          <a:extLst>
            <a:ext uri="{FF2B5EF4-FFF2-40B4-BE49-F238E27FC236}">
              <a16:creationId xmlns:a16="http://schemas.microsoft.com/office/drawing/2014/main" id="{D28F74B1-E3C6-49AB-94EF-110D2EAA2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581" name="Picture 2711" descr="spacer">
          <a:extLst>
            <a:ext uri="{FF2B5EF4-FFF2-40B4-BE49-F238E27FC236}">
              <a16:creationId xmlns:a16="http://schemas.microsoft.com/office/drawing/2014/main" id="{0E5F0037-31BB-4050-B8C1-B817637C4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82" name="Picture 2713" descr="spacer">
          <a:extLst>
            <a:ext uri="{FF2B5EF4-FFF2-40B4-BE49-F238E27FC236}">
              <a16:creationId xmlns:a16="http://schemas.microsoft.com/office/drawing/2014/main" id="{F449C1BE-395B-48A7-B7D6-4C73AB7215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83" name="Picture 2714" descr="spacer">
          <a:extLst>
            <a:ext uri="{FF2B5EF4-FFF2-40B4-BE49-F238E27FC236}">
              <a16:creationId xmlns:a16="http://schemas.microsoft.com/office/drawing/2014/main" id="{E39A54F0-83D8-4E0E-AAE4-A8378B3C0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84" name="Picture 2715" descr="spacer">
          <a:extLst>
            <a:ext uri="{FF2B5EF4-FFF2-40B4-BE49-F238E27FC236}">
              <a16:creationId xmlns:a16="http://schemas.microsoft.com/office/drawing/2014/main" id="{DB8DBB64-CC8D-4ED7-A0FB-888BF6538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85" name="Picture 2716" descr="spacer">
          <a:extLst>
            <a:ext uri="{FF2B5EF4-FFF2-40B4-BE49-F238E27FC236}">
              <a16:creationId xmlns:a16="http://schemas.microsoft.com/office/drawing/2014/main" id="{F5EA30CA-CDC0-4408-9399-32A2668B7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86" name="Picture 2717" descr="spacer">
          <a:extLst>
            <a:ext uri="{FF2B5EF4-FFF2-40B4-BE49-F238E27FC236}">
              <a16:creationId xmlns:a16="http://schemas.microsoft.com/office/drawing/2014/main" id="{B38BA476-1646-4C08-84CA-B0685CAB3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87" name="Picture 2718" descr="spacer">
          <a:extLst>
            <a:ext uri="{FF2B5EF4-FFF2-40B4-BE49-F238E27FC236}">
              <a16:creationId xmlns:a16="http://schemas.microsoft.com/office/drawing/2014/main" id="{CC54E93D-1F2C-4E38-84F9-8E14D8BAF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88" name="Picture 2719" descr="spacer">
          <a:extLst>
            <a:ext uri="{FF2B5EF4-FFF2-40B4-BE49-F238E27FC236}">
              <a16:creationId xmlns:a16="http://schemas.microsoft.com/office/drawing/2014/main" id="{BB2201D5-9D07-4B92-B210-5D16B85B32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89" name="Picture 2720" descr="spacer">
          <a:extLst>
            <a:ext uri="{FF2B5EF4-FFF2-40B4-BE49-F238E27FC236}">
              <a16:creationId xmlns:a16="http://schemas.microsoft.com/office/drawing/2014/main" id="{711CA764-8DDD-42A6-B6BC-99CC2E758D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90" name="Picture 2721" descr="spacer">
          <a:extLst>
            <a:ext uri="{FF2B5EF4-FFF2-40B4-BE49-F238E27FC236}">
              <a16:creationId xmlns:a16="http://schemas.microsoft.com/office/drawing/2014/main" id="{E57D2DD6-7313-48E1-9AE2-2A9F60A867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91" name="Picture 2722" descr="spacer">
          <a:extLst>
            <a:ext uri="{FF2B5EF4-FFF2-40B4-BE49-F238E27FC236}">
              <a16:creationId xmlns:a16="http://schemas.microsoft.com/office/drawing/2014/main" id="{27182EE2-D74C-429E-897D-0737A3F81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92" name="Picture 2723" descr="spacer">
          <a:extLst>
            <a:ext uri="{FF2B5EF4-FFF2-40B4-BE49-F238E27FC236}">
              <a16:creationId xmlns:a16="http://schemas.microsoft.com/office/drawing/2014/main" id="{833814F0-B9CE-4074-99FC-75383A76D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93" name="Picture 2724" descr="spacer">
          <a:extLst>
            <a:ext uri="{FF2B5EF4-FFF2-40B4-BE49-F238E27FC236}">
              <a16:creationId xmlns:a16="http://schemas.microsoft.com/office/drawing/2014/main" id="{2A212D87-DCEA-44BD-AF50-6C931BF590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94" name="Picture 2725" descr="spacer">
          <a:extLst>
            <a:ext uri="{FF2B5EF4-FFF2-40B4-BE49-F238E27FC236}">
              <a16:creationId xmlns:a16="http://schemas.microsoft.com/office/drawing/2014/main" id="{5472F158-7DCA-4F37-BD02-04796CCD2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595" name="Picture 2728" descr="spacer">
          <a:extLst>
            <a:ext uri="{FF2B5EF4-FFF2-40B4-BE49-F238E27FC236}">
              <a16:creationId xmlns:a16="http://schemas.microsoft.com/office/drawing/2014/main" id="{7C7E0DE1-8881-44CD-96B5-BDE61C31A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96" name="Picture 2730" descr="spacer">
          <a:extLst>
            <a:ext uri="{FF2B5EF4-FFF2-40B4-BE49-F238E27FC236}">
              <a16:creationId xmlns:a16="http://schemas.microsoft.com/office/drawing/2014/main" id="{0D02A96B-F73A-4C16-ABDF-744B40D0F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97" name="Picture 2731" descr="spacer">
          <a:extLst>
            <a:ext uri="{FF2B5EF4-FFF2-40B4-BE49-F238E27FC236}">
              <a16:creationId xmlns:a16="http://schemas.microsoft.com/office/drawing/2014/main" id="{77220968-72B3-44D5-B2C4-EEC87946D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98" name="Picture 2732" descr="spacer">
          <a:extLst>
            <a:ext uri="{FF2B5EF4-FFF2-40B4-BE49-F238E27FC236}">
              <a16:creationId xmlns:a16="http://schemas.microsoft.com/office/drawing/2014/main" id="{8883814C-010F-4DA1-92BA-C8C02F4272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599" name="Picture 2733" descr="spacer">
          <a:extLst>
            <a:ext uri="{FF2B5EF4-FFF2-40B4-BE49-F238E27FC236}">
              <a16:creationId xmlns:a16="http://schemas.microsoft.com/office/drawing/2014/main" id="{ABC177CF-368A-4F1B-8DF7-42ECDE998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00" name="Picture 2734" descr="spacer">
          <a:extLst>
            <a:ext uri="{FF2B5EF4-FFF2-40B4-BE49-F238E27FC236}">
              <a16:creationId xmlns:a16="http://schemas.microsoft.com/office/drawing/2014/main" id="{C2C59418-D003-4E5C-95A7-A69033E15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01" name="Picture 2735" descr="spacer">
          <a:extLst>
            <a:ext uri="{FF2B5EF4-FFF2-40B4-BE49-F238E27FC236}">
              <a16:creationId xmlns:a16="http://schemas.microsoft.com/office/drawing/2014/main" id="{542DC8E0-E7FD-42DE-9EF9-C1B0AC3F0A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02" name="Picture 2736" descr="spacer">
          <a:extLst>
            <a:ext uri="{FF2B5EF4-FFF2-40B4-BE49-F238E27FC236}">
              <a16:creationId xmlns:a16="http://schemas.microsoft.com/office/drawing/2014/main" id="{5039B6DA-78B8-4078-BC4C-8AC8519D1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03" name="Picture 2737" descr="spacer">
          <a:extLst>
            <a:ext uri="{FF2B5EF4-FFF2-40B4-BE49-F238E27FC236}">
              <a16:creationId xmlns:a16="http://schemas.microsoft.com/office/drawing/2014/main" id="{ECA8B067-E176-4B01-80AA-96BBFBE4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04" name="Picture 2738" descr="spacer">
          <a:extLst>
            <a:ext uri="{FF2B5EF4-FFF2-40B4-BE49-F238E27FC236}">
              <a16:creationId xmlns:a16="http://schemas.microsoft.com/office/drawing/2014/main" id="{69A0AA4C-AB64-4498-849F-3FBFBACA5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05" name="Picture 2739" descr="spacer">
          <a:extLst>
            <a:ext uri="{FF2B5EF4-FFF2-40B4-BE49-F238E27FC236}">
              <a16:creationId xmlns:a16="http://schemas.microsoft.com/office/drawing/2014/main" id="{EE157C0F-FFFE-41D0-B27D-A42CC7FA0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06" name="Picture 2740" descr="spacer">
          <a:extLst>
            <a:ext uri="{FF2B5EF4-FFF2-40B4-BE49-F238E27FC236}">
              <a16:creationId xmlns:a16="http://schemas.microsoft.com/office/drawing/2014/main" id="{7591E313-27D2-41D0-B190-FE2319C14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07" name="Picture 2741" descr="spacer">
          <a:extLst>
            <a:ext uri="{FF2B5EF4-FFF2-40B4-BE49-F238E27FC236}">
              <a16:creationId xmlns:a16="http://schemas.microsoft.com/office/drawing/2014/main" id="{3E246CAC-14B0-45A6-9BDF-A6070C287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08" name="Picture 2742" descr="spacer">
          <a:extLst>
            <a:ext uri="{FF2B5EF4-FFF2-40B4-BE49-F238E27FC236}">
              <a16:creationId xmlns:a16="http://schemas.microsoft.com/office/drawing/2014/main" id="{E946B812-D5BD-4FEA-A320-B1223483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609" name="Picture 2745" descr="spacer">
          <a:extLst>
            <a:ext uri="{FF2B5EF4-FFF2-40B4-BE49-F238E27FC236}">
              <a16:creationId xmlns:a16="http://schemas.microsoft.com/office/drawing/2014/main" id="{C359DE66-370B-4F63-9164-4B0DC61F0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10" name="Picture 2747" descr="spacer">
          <a:extLst>
            <a:ext uri="{FF2B5EF4-FFF2-40B4-BE49-F238E27FC236}">
              <a16:creationId xmlns:a16="http://schemas.microsoft.com/office/drawing/2014/main" id="{6C8B785E-3865-4D35-AA00-9F2402FEA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11" name="Picture 2748" descr="spacer">
          <a:extLst>
            <a:ext uri="{FF2B5EF4-FFF2-40B4-BE49-F238E27FC236}">
              <a16:creationId xmlns:a16="http://schemas.microsoft.com/office/drawing/2014/main" id="{5B3D67BD-0F39-4521-83CE-F6340F9B3C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12" name="Picture 2749" descr="spacer">
          <a:extLst>
            <a:ext uri="{FF2B5EF4-FFF2-40B4-BE49-F238E27FC236}">
              <a16:creationId xmlns:a16="http://schemas.microsoft.com/office/drawing/2014/main" id="{932C2B1D-EE85-4BF3-A51F-1B3372667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13" name="Picture 2750" descr="spacer">
          <a:extLst>
            <a:ext uri="{FF2B5EF4-FFF2-40B4-BE49-F238E27FC236}">
              <a16:creationId xmlns:a16="http://schemas.microsoft.com/office/drawing/2014/main" id="{8AF99CCD-99E4-424F-84D7-EA0827F25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14" name="Picture 2751" descr="spacer">
          <a:extLst>
            <a:ext uri="{FF2B5EF4-FFF2-40B4-BE49-F238E27FC236}">
              <a16:creationId xmlns:a16="http://schemas.microsoft.com/office/drawing/2014/main" id="{E315E0CA-5D0F-457E-A761-F77F8F2A7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15" name="Picture 2752" descr="spacer">
          <a:extLst>
            <a:ext uri="{FF2B5EF4-FFF2-40B4-BE49-F238E27FC236}">
              <a16:creationId xmlns:a16="http://schemas.microsoft.com/office/drawing/2014/main" id="{1602542E-CD25-4ED1-B7D0-D9AE1F1EE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16" name="Picture 2753" descr="spacer">
          <a:extLst>
            <a:ext uri="{FF2B5EF4-FFF2-40B4-BE49-F238E27FC236}">
              <a16:creationId xmlns:a16="http://schemas.microsoft.com/office/drawing/2014/main" id="{9D37B95E-A13B-4311-8AD5-D98971195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17" name="Picture 2754" descr="spacer">
          <a:extLst>
            <a:ext uri="{FF2B5EF4-FFF2-40B4-BE49-F238E27FC236}">
              <a16:creationId xmlns:a16="http://schemas.microsoft.com/office/drawing/2014/main" id="{B52E83AB-3E00-4BD8-B70C-3C72261EF7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18" name="Picture 2755" descr="spacer">
          <a:extLst>
            <a:ext uri="{FF2B5EF4-FFF2-40B4-BE49-F238E27FC236}">
              <a16:creationId xmlns:a16="http://schemas.microsoft.com/office/drawing/2014/main" id="{D0D13AEA-28A2-4B72-91E3-7033D1B14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19" name="Picture 2756" descr="spacer">
          <a:extLst>
            <a:ext uri="{FF2B5EF4-FFF2-40B4-BE49-F238E27FC236}">
              <a16:creationId xmlns:a16="http://schemas.microsoft.com/office/drawing/2014/main" id="{6E71C595-4B4D-405B-95B7-0875B3021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20" name="Picture 2757" descr="spacer">
          <a:extLst>
            <a:ext uri="{FF2B5EF4-FFF2-40B4-BE49-F238E27FC236}">
              <a16:creationId xmlns:a16="http://schemas.microsoft.com/office/drawing/2014/main" id="{B9493EFE-0BB9-449B-8B67-137F06701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21" name="Picture 2758" descr="spacer">
          <a:extLst>
            <a:ext uri="{FF2B5EF4-FFF2-40B4-BE49-F238E27FC236}">
              <a16:creationId xmlns:a16="http://schemas.microsoft.com/office/drawing/2014/main" id="{89EC51A9-94DA-457F-BF66-FDC9C99B0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22" name="Picture 2759" descr="spacer">
          <a:extLst>
            <a:ext uri="{FF2B5EF4-FFF2-40B4-BE49-F238E27FC236}">
              <a16:creationId xmlns:a16="http://schemas.microsoft.com/office/drawing/2014/main" id="{411A687E-2BCC-40B9-9AC6-B30D1F67C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623" name="Picture 2762" descr="spacer">
          <a:extLst>
            <a:ext uri="{FF2B5EF4-FFF2-40B4-BE49-F238E27FC236}">
              <a16:creationId xmlns:a16="http://schemas.microsoft.com/office/drawing/2014/main" id="{1AA47D4A-E5D9-411A-A944-A5131D377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24" name="Picture 2764" descr="spacer">
          <a:extLst>
            <a:ext uri="{FF2B5EF4-FFF2-40B4-BE49-F238E27FC236}">
              <a16:creationId xmlns:a16="http://schemas.microsoft.com/office/drawing/2014/main" id="{22D3F3D4-3A6B-4E34-BD05-576EF7A54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25" name="Picture 2765" descr="spacer">
          <a:extLst>
            <a:ext uri="{FF2B5EF4-FFF2-40B4-BE49-F238E27FC236}">
              <a16:creationId xmlns:a16="http://schemas.microsoft.com/office/drawing/2014/main" id="{F19F64CA-6591-4279-8B3F-80A5A7C1BC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26" name="Picture 2766" descr="spacer">
          <a:extLst>
            <a:ext uri="{FF2B5EF4-FFF2-40B4-BE49-F238E27FC236}">
              <a16:creationId xmlns:a16="http://schemas.microsoft.com/office/drawing/2014/main" id="{43319D66-7789-4087-81D5-069681936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27" name="Picture 2767" descr="spacer">
          <a:extLst>
            <a:ext uri="{FF2B5EF4-FFF2-40B4-BE49-F238E27FC236}">
              <a16:creationId xmlns:a16="http://schemas.microsoft.com/office/drawing/2014/main" id="{481814CA-389F-42DC-BDE0-7C08D362F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28" name="Picture 2768" descr="spacer">
          <a:extLst>
            <a:ext uri="{FF2B5EF4-FFF2-40B4-BE49-F238E27FC236}">
              <a16:creationId xmlns:a16="http://schemas.microsoft.com/office/drawing/2014/main" id="{0C04273B-A817-48C9-8CF8-7FAC56C423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29" name="Picture 2769" descr="spacer">
          <a:extLst>
            <a:ext uri="{FF2B5EF4-FFF2-40B4-BE49-F238E27FC236}">
              <a16:creationId xmlns:a16="http://schemas.microsoft.com/office/drawing/2014/main" id="{5557A143-B266-4ECA-914D-1A78F7A57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30" name="Picture 2770" descr="spacer">
          <a:extLst>
            <a:ext uri="{FF2B5EF4-FFF2-40B4-BE49-F238E27FC236}">
              <a16:creationId xmlns:a16="http://schemas.microsoft.com/office/drawing/2014/main" id="{EB37BAEC-F130-467C-8A10-42B9B3EDA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31" name="Picture 2771" descr="spacer">
          <a:extLst>
            <a:ext uri="{FF2B5EF4-FFF2-40B4-BE49-F238E27FC236}">
              <a16:creationId xmlns:a16="http://schemas.microsoft.com/office/drawing/2014/main" id="{340FF594-B185-43BE-A42C-27D468524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32" name="Picture 2772" descr="spacer">
          <a:extLst>
            <a:ext uri="{FF2B5EF4-FFF2-40B4-BE49-F238E27FC236}">
              <a16:creationId xmlns:a16="http://schemas.microsoft.com/office/drawing/2014/main" id="{62287D67-CDEA-4C43-B080-96C820D21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33" name="Picture 2773" descr="spacer">
          <a:extLst>
            <a:ext uri="{FF2B5EF4-FFF2-40B4-BE49-F238E27FC236}">
              <a16:creationId xmlns:a16="http://schemas.microsoft.com/office/drawing/2014/main" id="{5FF86D48-9E52-4BAA-9C43-56A968EF0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34" name="Picture 2774" descr="spacer">
          <a:extLst>
            <a:ext uri="{FF2B5EF4-FFF2-40B4-BE49-F238E27FC236}">
              <a16:creationId xmlns:a16="http://schemas.microsoft.com/office/drawing/2014/main" id="{F742B54A-EC10-4F7B-8C84-B20219C55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35" name="Picture 2775" descr="spacer">
          <a:extLst>
            <a:ext uri="{FF2B5EF4-FFF2-40B4-BE49-F238E27FC236}">
              <a16:creationId xmlns:a16="http://schemas.microsoft.com/office/drawing/2014/main" id="{954041CD-511B-4E46-A791-5661D6F10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36" name="Picture 2776" descr="spacer">
          <a:extLst>
            <a:ext uri="{FF2B5EF4-FFF2-40B4-BE49-F238E27FC236}">
              <a16:creationId xmlns:a16="http://schemas.microsoft.com/office/drawing/2014/main" id="{85B93FA0-FE81-41C3-AFA9-CF25DB19C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37" name="Picture 2777" descr="spacer">
          <a:extLst>
            <a:ext uri="{FF2B5EF4-FFF2-40B4-BE49-F238E27FC236}">
              <a16:creationId xmlns:a16="http://schemas.microsoft.com/office/drawing/2014/main" id="{270B846E-0751-4EA3-8D0E-7E4E85842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638" name="Picture 2780" descr="spacer">
          <a:extLst>
            <a:ext uri="{FF2B5EF4-FFF2-40B4-BE49-F238E27FC236}">
              <a16:creationId xmlns:a16="http://schemas.microsoft.com/office/drawing/2014/main" id="{20F381B6-6CEB-4FC4-8F7E-AD01EF0E1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39" name="Picture 2782" descr="spacer">
          <a:extLst>
            <a:ext uri="{FF2B5EF4-FFF2-40B4-BE49-F238E27FC236}">
              <a16:creationId xmlns:a16="http://schemas.microsoft.com/office/drawing/2014/main" id="{C43E50F8-878C-4F3F-97C5-579CEE6140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40" name="Picture 2783" descr="spacer">
          <a:extLst>
            <a:ext uri="{FF2B5EF4-FFF2-40B4-BE49-F238E27FC236}">
              <a16:creationId xmlns:a16="http://schemas.microsoft.com/office/drawing/2014/main" id="{4C4B8A9E-67D0-4A19-9584-195AD6311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41" name="Picture 2784" descr="spacer">
          <a:extLst>
            <a:ext uri="{FF2B5EF4-FFF2-40B4-BE49-F238E27FC236}">
              <a16:creationId xmlns:a16="http://schemas.microsoft.com/office/drawing/2014/main" id="{E69E798E-247A-4D80-9A37-8D951AF9DC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42" name="Picture 2785" descr="spacer">
          <a:extLst>
            <a:ext uri="{FF2B5EF4-FFF2-40B4-BE49-F238E27FC236}">
              <a16:creationId xmlns:a16="http://schemas.microsoft.com/office/drawing/2014/main" id="{1D39E0ED-4DE2-4638-B512-11C9A411C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43" name="Picture 2786" descr="spacer">
          <a:extLst>
            <a:ext uri="{FF2B5EF4-FFF2-40B4-BE49-F238E27FC236}">
              <a16:creationId xmlns:a16="http://schemas.microsoft.com/office/drawing/2014/main" id="{D0944D8D-9A42-4927-A0EB-7B52EDE59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44" name="Picture 2787" descr="spacer">
          <a:extLst>
            <a:ext uri="{FF2B5EF4-FFF2-40B4-BE49-F238E27FC236}">
              <a16:creationId xmlns:a16="http://schemas.microsoft.com/office/drawing/2014/main" id="{4209BA79-581B-4DDB-8D40-EE6838C97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45" name="Picture 2788" descr="spacer">
          <a:extLst>
            <a:ext uri="{FF2B5EF4-FFF2-40B4-BE49-F238E27FC236}">
              <a16:creationId xmlns:a16="http://schemas.microsoft.com/office/drawing/2014/main" id="{5BE2F6FC-35C8-4E26-9558-AE49C2E03F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46" name="Picture 2789" descr="spacer">
          <a:extLst>
            <a:ext uri="{FF2B5EF4-FFF2-40B4-BE49-F238E27FC236}">
              <a16:creationId xmlns:a16="http://schemas.microsoft.com/office/drawing/2014/main" id="{CDB58DE5-B47F-4E99-B25B-D2573E3C6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47" name="Picture 2790" descr="spacer">
          <a:extLst>
            <a:ext uri="{FF2B5EF4-FFF2-40B4-BE49-F238E27FC236}">
              <a16:creationId xmlns:a16="http://schemas.microsoft.com/office/drawing/2014/main" id="{2BD13737-EC98-484F-9A1F-CAE05CC1B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48" name="Picture 2791" descr="spacer">
          <a:extLst>
            <a:ext uri="{FF2B5EF4-FFF2-40B4-BE49-F238E27FC236}">
              <a16:creationId xmlns:a16="http://schemas.microsoft.com/office/drawing/2014/main" id="{3CDE182C-20D6-463D-86E6-E5D7C0356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49" name="Picture 2792" descr="spacer">
          <a:extLst>
            <a:ext uri="{FF2B5EF4-FFF2-40B4-BE49-F238E27FC236}">
              <a16:creationId xmlns:a16="http://schemas.microsoft.com/office/drawing/2014/main" id="{E65B14A2-0EFB-4101-A2AC-55CE04045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50" name="Picture 2793" descr="spacer">
          <a:extLst>
            <a:ext uri="{FF2B5EF4-FFF2-40B4-BE49-F238E27FC236}">
              <a16:creationId xmlns:a16="http://schemas.microsoft.com/office/drawing/2014/main" id="{026C9FE0-D6FD-4E82-88FF-91B6E9DC9D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51" name="Picture 2794" descr="spacer">
          <a:extLst>
            <a:ext uri="{FF2B5EF4-FFF2-40B4-BE49-F238E27FC236}">
              <a16:creationId xmlns:a16="http://schemas.microsoft.com/office/drawing/2014/main" id="{90EE1EC1-B953-49EA-A099-64180D2D1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52" name="Picture 2795" descr="spacer">
          <a:extLst>
            <a:ext uri="{FF2B5EF4-FFF2-40B4-BE49-F238E27FC236}">
              <a16:creationId xmlns:a16="http://schemas.microsoft.com/office/drawing/2014/main" id="{9396729C-FCE8-458F-9128-2254A852E2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653" name="Picture 2798" descr="spacer">
          <a:extLst>
            <a:ext uri="{FF2B5EF4-FFF2-40B4-BE49-F238E27FC236}">
              <a16:creationId xmlns:a16="http://schemas.microsoft.com/office/drawing/2014/main" id="{D4D78D53-F9CE-40F0-AA34-4C02C0C85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54" name="Picture 2800" descr="spacer">
          <a:extLst>
            <a:ext uri="{FF2B5EF4-FFF2-40B4-BE49-F238E27FC236}">
              <a16:creationId xmlns:a16="http://schemas.microsoft.com/office/drawing/2014/main" id="{D795F337-DAF4-4062-B359-138840BA4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55" name="Picture 2801" descr="spacer">
          <a:extLst>
            <a:ext uri="{FF2B5EF4-FFF2-40B4-BE49-F238E27FC236}">
              <a16:creationId xmlns:a16="http://schemas.microsoft.com/office/drawing/2014/main" id="{3BB82258-E50F-452B-A723-C543AD22F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56" name="Picture 2802" descr="spacer">
          <a:extLst>
            <a:ext uri="{FF2B5EF4-FFF2-40B4-BE49-F238E27FC236}">
              <a16:creationId xmlns:a16="http://schemas.microsoft.com/office/drawing/2014/main" id="{AC540C55-226A-4CCC-8F25-270D9D438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57" name="Picture 2803" descr="spacer">
          <a:extLst>
            <a:ext uri="{FF2B5EF4-FFF2-40B4-BE49-F238E27FC236}">
              <a16:creationId xmlns:a16="http://schemas.microsoft.com/office/drawing/2014/main" id="{3EF7F3CB-7431-4F7C-AB3B-8F024AC9F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58" name="Picture 2804" descr="spacer">
          <a:extLst>
            <a:ext uri="{FF2B5EF4-FFF2-40B4-BE49-F238E27FC236}">
              <a16:creationId xmlns:a16="http://schemas.microsoft.com/office/drawing/2014/main" id="{3FCA13EE-F42E-40E0-A46C-943C450605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59" name="Picture 2805" descr="spacer">
          <a:extLst>
            <a:ext uri="{FF2B5EF4-FFF2-40B4-BE49-F238E27FC236}">
              <a16:creationId xmlns:a16="http://schemas.microsoft.com/office/drawing/2014/main" id="{ADFD173D-9274-4C1D-B527-C8742BD3F4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60" name="Picture 2806" descr="spacer">
          <a:extLst>
            <a:ext uri="{FF2B5EF4-FFF2-40B4-BE49-F238E27FC236}">
              <a16:creationId xmlns:a16="http://schemas.microsoft.com/office/drawing/2014/main" id="{6265CAC0-77D4-42F6-8C47-525E55155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61" name="Picture 2807" descr="spacer">
          <a:extLst>
            <a:ext uri="{FF2B5EF4-FFF2-40B4-BE49-F238E27FC236}">
              <a16:creationId xmlns:a16="http://schemas.microsoft.com/office/drawing/2014/main" id="{FF5AAD2D-6035-49B8-8484-E044A485C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62" name="Picture 2808" descr="spacer">
          <a:extLst>
            <a:ext uri="{FF2B5EF4-FFF2-40B4-BE49-F238E27FC236}">
              <a16:creationId xmlns:a16="http://schemas.microsoft.com/office/drawing/2014/main" id="{2C3D7A37-8084-478F-A013-9BB243CB1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63" name="Picture 2809" descr="spacer">
          <a:extLst>
            <a:ext uri="{FF2B5EF4-FFF2-40B4-BE49-F238E27FC236}">
              <a16:creationId xmlns:a16="http://schemas.microsoft.com/office/drawing/2014/main" id="{53AF342D-C5F5-4591-A185-40A9A0058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64" name="Picture 2810" descr="spacer">
          <a:extLst>
            <a:ext uri="{FF2B5EF4-FFF2-40B4-BE49-F238E27FC236}">
              <a16:creationId xmlns:a16="http://schemas.microsoft.com/office/drawing/2014/main" id="{91CEF57B-EC46-475C-AA77-85E07B8C2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65" name="Picture 2811" descr="spacer">
          <a:extLst>
            <a:ext uri="{FF2B5EF4-FFF2-40B4-BE49-F238E27FC236}">
              <a16:creationId xmlns:a16="http://schemas.microsoft.com/office/drawing/2014/main" id="{9D04BEF4-FD9C-4FBF-AAD5-A85FE2053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66" name="Picture 2812" descr="spacer">
          <a:extLst>
            <a:ext uri="{FF2B5EF4-FFF2-40B4-BE49-F238E27FC236}">
              <a16:creationId xmlns:a16="http://schemas.microsoft.com/office/drawing/2014/main" id="{5228D3CB-1164-48D1-9033-4A5D9B0B3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67" name="Picture 2813" descr="spacer">
          <a:extLst>
            <a:ext uri="{FF2B5EF4-FFF2-40B4-BE49-F238E27FC236}">
              <a16:creationId xmlns:a16="http://schemas.microsoft.com/office/drawing/2014/main" id="{878C061C-3A0D-4D0F-99DD-9A03E9C69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668" name="Picture 2816" descr="spacer">
          <a:extLst>
            <a:ext uri="{FF2B5EF4-FFF2-40B4-BE49-F238E27FC236}">
              <a16:creationId xmlns:a16="http://schemas.microsoft.com/office/drawing/2014/main" id="{0D7D75AB-875E-4CC4-8F32-C1961577D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69" name="Picture 2818" descr="spacer">
          <a:extLst>
            <a:ext uri="{FF2B5EF4-FFF2-40B4-BE49-F238E27FC236}">
              <a16:creationId xmlns:a16="http://schemas.microsoft.com/office/drawing/2014/main" id="{5A866E7B-EBEC-447B-90D6-FE031CB69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70" name="Picture 2819" descr="spacer">
          <a:extLst>
            <a:ext uri="{FF2B5EF4-FFF2-40B4-BE49-F238E27FC236}">
              <a16:creationId xmlns:a16="http://schemas.microsoft.com/office/drawing/2014/main" id="{D7844EF1-D341-41B0-895F-33D3D04B6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71" name="Picture 2820" descr="spacer">
          <a:extLst>
            <a:ext uri="{FF2B5EF4-FFF2-40B4-BE49-F238E27FC236}">
              <a16:creationId xmlns:a16="http://schemas.microsoft.com/office/drawing/2014/main" id="{C5B6CF3B-00DC-4F23-A179-4DD8A73AFB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72" name="Picture 2821" descr="spacer">
          <a:extLst>
            <a:ext uri="{FF2B5EF4-FFF2-40B4-BE49-F238E27FC236}">
              <a16:creationId xmlns:a16="http://schemas.microsoft.com/office/drawing/2014/main" id="{40457007-B0A9-41B0-BD3C-770EAF6A0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73" name="Picture 2822" descr="spacer">
          <a:extLst>
            <a:ext uri="{FF2B5EF4-FFF2-40B4-BE49-F238E27FC236}">
              <a16:creationId xmlns:a16="http://schemas.microsoft.com/office/drawing/2014/main" id="{3D782E1A-E70E-4647-A13B-1413D7C12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74" name="Picture 2823" descr="spacer">
          <a:extLst>
            <a:ext uri="{FF2B5EF4-FFF2-40B4-BE49-F238E27FC236}">
              <a16:creationId xmlns:a16="http://schemas.microsoft.com/office/drawing/2014/main" id="{FE3C59D6-EC4B-47FE-9536-1F693B8234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75" name="Picture 2824" descr="spacer">
          <a:extLst>
            <a:ext uri="{FF2B5EF4-FFF2-40B4-BE49-F238E27FC236}">
              <a16:creationId xmlns:a16="http://schemas.microsoft.com/office/drawing/2014/main" id="{3C987C97-CC08-4541-83E5-0EDE0E8B4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76" name="Picture 2825" descr="spacer">
          <a:extLst>
            <a:ext uri="{FF2B5EF4-FFF2-40B4-BE49-F238E27FC236}">
              <a16:creationId xmlns:a16="http://schemas.microsoft.com/office/drawing/2014/main" id="{EAF01797-401B-423B-B29C-A44DE8BF4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77" name="Picture 2826" descr="spacer">
          <a:extLst>
            <a:ext uri="{FF2B5EF4-FFF2-40B4-BE49-F238E27FC236}">
              <a16:creationId xmlns:a16="http://schemas.microsoft.com/office/drawing/2014/main" id="{80C2BB9F-5A1C-4B09-A40A-AE0020E1D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78" name="Picture 2827" descr="spacer">
          <a:extLst>
            <a:ext uri="{FF2B5EF4-FFF2-40B4-BE49-F238E27FC236}">
              <a16:creationId xmlns:a16="http://schemas.microsoft.com/office/drawing/2014/main" id="{0C7D130C-944F-4E2D-AD0A-0B9051817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79" name="Picture 2828" descr="spacer">
          <a:extLst>
            <a:ext uri="{FF2B5EF4-FFF2-40B4-BE49-F238E27FC236}">
              <a16:creationId xmlns:a16="http://schemas.microsoft.com/office/drawing/2014/main" id="{560D35F6-9385-4D4D-9190-BDFDCB8EDD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80" name="Picture 2829" descr="spacer">
          <a:extLst>
            <a:ext uri="{FF2B5EF4-FFF2-40B4-BE49-F238E27FC236}">
              <a16:creationId xmlns:a16="http://schemas.microsoft.com/office/drawing/2014/main" id="{4AB2B9A5-6A43-458A-AB7C-AF8607363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81" name="Picture 2830" descr="spacer">
          <a:extLst>
            <a:ext uri="{FF2B5EF4-FFF2-40B4-BE49-F238E27FC236}">
              <a16:creationId xmlns:a16="http://schemas.microsoft.com/office/drawing/2014/main" id="{05A264D9-E7A8-41F5-91B1-E3DB15E69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82" name="Picture 2831" descr="spacer">
          <a:extLst>
            <a:ext uri="{FF2B5EF4-FFF2-40B4-BE49-F238E27FC236}">
              <a16:creationId xmlns:a16="http://schemas.microsoft.com/office/drawing/2014/main" id="{CD1585D3-CDB3-4A83-8F2F-6406CE53B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683" name="Picture 2834" descr="spacer">
          <a:extLst>
            <a:ext uri="{FF2B5EF4-FFF2-40B4-BE49-F238E27FC236}">
              <a16:creationId xmlns:a16="http://schemas.microsoft.com/office/drawing/2014/main" id="{B1689EDD-6753-484F-8326-36EADA273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84" name="Picture 2836" descr="spacer">
          <a:extLst>
            <a:ext uri="{FF2B5EF4-FFF2-40B4-BE49-F238E27FC236}">
              <a16:creationId xmlns:a16="http://schemas.microsoft.com/office/drawing/2014/main" id="{89576F14-D22D-4675-82EF-4B12FEA96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85" name="Picture 2837" descr="spacer">
          <a:extLst>
            <a:ext uri="{FF2B5EF4-FFF2-40B4-BE49-F238E27FC236}">
              <a16:creationId xmlns:a16="http://schemas.microsoft.com/office/drawing/2014/main" id="{06A6F88D-1019-4D81-BDC2-029A92C0DD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86" name="Picture 2838" descr="spacer">
          <a:extLst>
            <a:ext uri="{FF2B5EF4-FFF2-40B4-BE49-F238E27FC236}">
              <a16:creationId xmlns:a16="http://schemas.microsoft.com/office/drawing/2014/main" id="{AC06C524-C5B6-44B4-A4AE-F1057D627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87" name="Picture 2839" descr="spacer">
          <a:extLst>
            <a:ext uri="{FF2B5EF4-FFF2-40B4-BE49-F238E27FC236}">
              <a16:creationId xmlns:a16="http://schemas.microsoft.com/office/drawing/2014/main" id="{215EBFFB-3084-4F26-8F78-6DAA20F25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88" name="Picture 2840" descr="spacer">
          <a:extLst>
            <a:ext uri="{FF2B5EF4-FFF2-40B4-BE49-F238E27FC236}">
              <a16:creationId xmlns:a16="http://schemas.microsoft.com/office/drawing/2014/main" id="{DD08F566-FC6A-43FC-B6F5-071BDBD9D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89" name="Picture 2841" descr="spacer">
          <a:extLst>
            <a:ext uri="{FF2B5EF4-FFF2-40B4-BE49-F238E27FC236}">
              <a16:creationId xmlns:a16="http://schemas.microsoft.com/office/drawing/2014/main" id="{A3298673-B334-44AF-BABE-18D1220CE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90" name="Picture 2842" descr="spacer">
          <a:extLst>
            <a:ext uri="{FF2B5EF4-FFF2-40B4-BE49-F238E27FC236}">
              <a16:creationId xmlns:a16="http://schemas.microsoft.com/office/drawing/2014/main" id="{FF3FD5A9-1060-4D6E-B6CA-2787888D4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91" name="Picture 2843" descr="spacer">
          <a:extLst>
            <a:ext uri="{FF2B5EF4-FFF2-40B4-BE49-F238E27FC236}">
              <a16:creationId xmlns:a16="http://schemas.microsoft.com/office/drawing/2014/main" id="{1ECFAC9B-1E03-4726-B8F5-F9B51E5978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92" name="Picture 2844" descr="spacer">
          <a:extLst>
            <a:ext uri="{FF2B5EF4-FFF2-40B4-BE49-F238E27FC236}">
              <a16:creationId xmlns:a16="http://schemas.microsoft.com/office/drawing/2014/main" id="{6FA48101-6CB1-47D2-BE28-B7C49839A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93" name="Picture 2845" descr="spacer">
          <a:extLst>
            <a:ext uri="{FF2B5EF4-FFF2-40B4-BE49-F238E27FC236}">
              <a16:creationId xmlns:a16="http://schemas.microsoft.com/office/drawing/2014/main" id="{112DDB5A-9646-48CC-8C8E-D879ED61C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94" name="Picture 2846" descr="spacer">
          <a:extLst>
            <a:ext uri="{FF2B5EF4-FFF2-40B4-BE49-F238E27FC236}">
              <a16:creationId xmlns:a16="http://schemas.microsoft.com/office/drawing/2014/main" id="{CDFF801D-61A2-426D-BD1C-6A27B6E0B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95" name="Picture 2847" descr="spacer">
          <a:extLst>
            <a:ext uri="{FF2B5EF4-FFF2-40B4-BE49-F238E27FC236}">
              <a16:creationId xmlns:a16="http://schemas.microsoft.com/office/drawing/2014/main" id="{F46D3725-4E55-43F0-ACA3-FDBB5CFFFC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96" name="Picture 2848" descr="spacer">
          <a:extLst>
            <a:ext uri="{FF2B5EF4-FFF2-40B4-BE49-F238E27FC236}">
              <a16:creationId xmlns:a16="http://schemas.microsoft.com/office/drawing/2014/main" id="{E27B8FA5-7996-4C0D-87CC-EBE67969E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697" name="Picture 2851" descr="spacer">
          <a:extLst>
            <a:ext uri="{FF2B5EF4-FFF2-40B4-BE49-F238E27FC236}">
              <a16:creationId xmlns:a16="http://schemas.microsoft.com/office/drawing/2014/main" id="{B5A8841D-0D36-40EB-8961-3834B9F2AC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98" name="Picture 2853" descr="spacer">
          <a:extLst>
            <a:ext uri="{FF2B5EF4-FFF2-40B4-BE49-F238E27FC236}">
              <a16:creationId xmlns:a16="http://schemas.microsoft.com/office/drawing/2014/main" id="{F0A09D56-EB3C-4D31-AFDB-C67157850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699" name="Picture 2854" descr="spacer">
          <a:extLst>
            <a:ext uri="{FF2B5EF4-FFF2-40B4-BE49-F238E27FC236}">
              <a16:creationId xmlns:a16="http://schemas.microsoft.com/office/drawing/2014/main" id="{D5E7191C-32BD-4B79-A15B-AB97471A2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00" name="Picture 2855" descr="spacer">
          <a:extLst>
            <a:ext uri="{FF2B5EF4-FFF2-40B4-BE49-F238E27FC236}">
              <a16:creationId xmlns:a16="http://schemas.microsoft.com/office/drawing/2014/main" id="{866B953C-687B-4415-852D-883AF7949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01" name="Picture 2856" descr="spacer">
          <a:extLst>
            <a:ext uri="{FF2B5EF4-FFF2-40B4-BE49-F238E27FC236}">
              <a16:creationId xmlns:a16="http://schemas.microsoft.com/office/drawing/2014/main" id="{F9D9EEC2-E011-4E4D-9335-70B2DA292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02" name="Picture 2857" descr="spacer">
          <a:extLst>
            <a:ext uri="{FF2B5EF4-FFF2-40B4-BE49-F238E27FC236}">
              <a16:creationId xmlns:a16="http://schemas.microsoft.com/office/drawing/2014/main" id="{88C7934E-2617-400A-83B8-A725BDE53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03" name="Picture 2858" descr="spacer">
          <a:extLst>
            <a:ext uri="{FF2B5EF4-FFF2-40B4-BE49-F238E27FC236}">
              <a16:creationId xmlns:a16="http://schemas.microsoft.com/office/drawing/2014/main" id="{D196BFBC-22B7-4C18-9931-DCD21BFA4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04" name="Picture 2859" descr="spacer">
          <a:extLst>
            <a:ext uri="{FF2B5EF4-FFF2-40B4-BE49-F238E27FC236}">
              <a16:creationId xmlns:a16="http://schemas.microsoft.com/office/drawing/2014/main" id="{A60B98FF-B3C6-41FD-A48C-17302E491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05" name="Picture 2860" descr="spacer">
          <a:extLst>
            <a:ext uri="{FF2B5EF4-FFF2-40B4-BE49-F238E27FC236}">
              <a16:creationId xmlns:a16="http://schemas.microsoft.com/office/drawing/2014/main" id="{3BCD95B5-1C61-421B-89F9-3BD9480B7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06" name="Picture 2861" descr="spacer">
          <a:extLst>
            <a:ext uri="{FF2B5EF4-FFF2-40B4-BE49-F238E27FC236}">
              <a16:creationId xmlns:a16="http://schemas.microsoft.com/office/drawing/2014/main" id="{AA5179B8-67C9-4D64-9B6D-636237238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07" name="Picture 2862" descr="spacer">
          <a:extLst>
            <a:ext uri="{FF2B5EF4-FFF2-40B4-BE49-F238E27FC236}">
              <a16:creationId xmlns:a16="http://schemas.microsoft.com/office/drawing/2014/main" id="{88DDB429-3D1D-4E57-9CCB-D17C486F28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08" name="Picture 2863" descr="spacer">
          <a:extLst>
            <a:ext uri="{FF2B5EF4-FFF2-40B4-BE49-F238E27FC236}">
              <a16:creationId xmlns:a16="http://schemas.microsoft.com/office/drawing/2014/main" id="{6A73D910-76E1-433B-B809-6D4182039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09" name="Picture 2864" descr="spacer">
          <a:extLst>
            <a:ext uri="{FF2B5EF4-FFF2-40B4-BE49-F238E27FC236}">
              <a16:creationId xmlns:a16="http://schemas.microsoft.com/office/drawing/2014/main" id="{BF0BAFDF-489A-43A3-8247-716F3FF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10" name="Picture 2865" descr="spacer">
          <a:extLst>
            <a:ext uri="{FF2B5EF4-FFF2-40B4-BE49-F238E27FC236}">
              <a16:creationId xmlns:a16="http://schemas.microsoft.com/office/drawing/2014/main" id="{6DCB0326-73E7-4EFF-BD0E-E6CE58428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11" name="Picture 2866" descr="spacer">
          <a:extLst>
            <a:ext uri="{FF2B5EF4-FFF2-40B4-BE49-F238E27FC236}">
              <a16:creationId xmlns:a16="http://schemas.microsoft.com/office/drawing/2014/main" id="{279CAD7B-F10F-418B-9FB2-4CD56B63C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712" name="Picture 2869" descr="spacer">
          <a:extLst>
            <a:ext uri="{FF2B5EF4-FFF2-40B4-BE49-F238E27FC236}">
              <a16:creationId xmlns:a16="http://schemas.microsoft.com/office/drawing/2014/main" id="{4343B732-119B-4A5D-919D-507EAB718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13" name="Picture 2871" descr="spacer">
          <a:extLst>
            <a:ext uri="{FF2B5EF4-FFF2-40B4-BE49-F238E27FC236}">
              <a16:creationId xmlns:a16="http://schemas.microsoft.com/office/drawing/2014/main" id="{26121126-AB43-4FC3-8180-F4B2412DA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14" name="Picture 2872" descr="spacer">
          <a:extLst>
            <a:ext uri="{FF2B5EF4-FFF2-40B4-BE49-F238E27FC236}">
              <a16:creationId xmlns:a16="http://schemas.microsoft.com/office/drawing/2014/main" id="{B404853E-9266-483E-B5C2-E3EA1E5D8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15" name="Picture 2873" descr="spacer">
          <a:extLst>
            <a:ext uri="{FF2B5EF4-FFF2-40B4-BE49-F238E27FC236}">
              <a16:creationId xmlns:a16="http://schemas.microsoft.com/office/drawing/2014/main" id="{D5ADA92E-2483-42AD-8B63-860EF8A83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16" name="Picture 2874" descr="spacer">
          <a:extLst>
            <a:ext uri="{FF2B5EF4-FFF2-40B4-BE49-F238E27FC236}">
              <a16:creationId xmlns:a16="http://schemas.microsoft.com/office/drawing/2014/main" id="{307F2DAB-0F86-4B65-9CFD-FF93861E6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17" name="Picture 2875" descr="spacer">
          <a:extLst>
            <a:ext uri="{FF2B5EF4-FFF2-40B4-BE49-F238E27FC236}">
              <a16:creationId xmlns:a16="http://schemas.microsoft.com/office/drawing/2014/main" id="{8F1C2055-497B-42F6-A256-A70DCE69F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18" name="Picture 2876" descr="spacer">
          <a:extLst>
            <a:ext uri="{FF2B5EF4-FFF2-40B4-BE49-F238E27FC236}">
              <a16:creationId xmlns:a16="http://schemas.microsoft.com/office/drawing/2014/main" id="{538B561B-72FF-4A35-9A51-43B2BA1C5C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19" name="Picture 2877" descr="spacer">
          <a:extLst>
            <a:ext uri="{FF2B5EF4-FFF2-40B4-BE49-F238E27FC236}">
              <a16:creationId xmlns:a16="http://schemas.microsoft.com/office/drawing/2014/main" id="{53536AB3-ECBA-4718-980C-2634460458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20" name="Picture 2878" descr="spacer">
          <a:extLst>
            <a:ext uri="{FF2B5EF4-FFF2-40B4-BE49-F238E27FC236}">
              <a16:creationId xmlns:a16="http://schemas.microsoft.com/office/drawing/2014/main" id="{F5E094D9-AF4A-4EB5-A792-5ABD0069F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21" name="Picture 2879" descr="spacer">
          <a:extLst>
            <a:ext uri="{FF2B5EF4-FFF2-40B4-BE49-F238E27FC236}">
              <a16:creationId xmlns:a16="http://schemas.microsoft.com/office/drawing/2014/main" id="{5F95C767-0DA8-49B9-871C-C811302D03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22" name="Picture 2880" descr="spacer">
          <a:extLst>
            <a:ext uri="{FF2B5EF4-FFF2-40B4-BE49-F238E27FC236}">
              <a16:creationId xmlns:a16="http://schemas.microsoft.com/office/drawing/2014/main" id="{87460561-8119-40F2-9623-4A0D202BD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23" name="Picture 2881" descr="spacer">
          <a:extLst>
            <a:ext uri="{FF2B5EF4-FFF2-40B4-BE49-F238E27FC236}">
              <a16:creationId xmlns:a16="http://schemas.microsoft.com/office/drawing/2014/main" id="{BD8C3106-2DED-48A9-B495-ECD2B1D4E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24" name="Picture 2882" descr="spacer">
          <a:extLst>
            <a:ext uri="{FF2B5EF4-FFF2-40B4-BE49-F238E27FC236}">
              <a16:creationId xmlns:a16="http://schemas.microsoft.com/office/drawing/2014/main" id="{723DEBD0-1701-4732-9265-457E9706D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25" name="Picture 2883" descr="spacer">
          <a:extLst>
            <a:ext uri="{FF2B5EF4-FFF2-40B4-BE49-F238E27FC236}">
              <a16:creationId xmlns:a16="http://schemas.microsoft.com/office/drawing/2014/main" id="{62C167F5-89CC-4C40-9734-0315E1A10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26" name="Picture 2884" descr="spacer">
          <a:extLst>
            <a:ext uri="{FF2B5EF4-FFF2-40B4-BE49-F238E27FC236}">
              <a16:creationId xmlns:a16="http://schemas.microsoft.com/office/drawing/2014/main" id="{23230AD5-BF3B-49D9-8CBE-1D76133AF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727" name="Picture 2887" descr="spacer">
          <a:extLst>
            <a:ext uri="{FF2B5EF4-FFF2-40B4-BE49-F238E27FC236}">
              <a16:creationId xmlns:a16="http://schemas.microsoft.com/office/drawing/2014/main" id="{181369BE-0726-4D83-ACB9-FABC7E087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28" name="Picture 2889" descr="spacer">
          <a:extLst>
            <a:ext uri="{FF2B5EF4-FFF2-40B4-BE49-F238E27FC236}">
              <a16:creationId xmlns:a16="http://schemas.microsoft.com/office/drawing/2014/main" id="{F46A26D4-238D-402B-B8AC-B1E900FA4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29" name="Picture 2890" descr="spacer">
          <a:extLst>
            <a:ext uri="{FF2B5EF4-FFF2-40B4-BE49-F238E27FC236}">
              <a16:creationId xmlns:a16="http://schemas.microsoft.com/office/drawing/2014/main" id="{782193F7-AB2A-4F5C-96CD-F9C1C434D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30" name="Picture 2891" descr="spacer">
          <a:extLst>
            <a:ext uri="{FF2B5EF4-FFF2-40B4-BE49-F238E27FC236}">
              <a16:creationId xmlns:a16="http://schemas.microsoft.com/office/drawing/2014/main" id="{1FC090C6-7997-436C-A9C8-D831F33C2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31" name="Picture 2892" descr="spacer">
          <a:extLst>
            <a:ext uri="{FF2B5EF4-FFF2-40B4-BE49-F238E27FC236}">
              <a16:creationId xmlns:a16="http://schemas.microsoft.com/office/drawing/2014/main" id="{D33F2782-F397-4BDF-82B7-99E42782ED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32" name="Picture 2893" descr="spacer">
          <a:extLst>
            <a:ext uri="{FF2B5EF4-FFF2-40B4-BE49-F238E27FC236}">
              <a16:creationId xmlns:a16="http://schemas.microsoft.com/office/drawing/2014/main" id="{481F4574-B497-4451-BE0B-606D5A3E3A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33" name="Picture 2894" descr="spacer">
          <a:extLst>
            <a:ext uri="{FF2B5EF4-FFF2-40B4-BE49-F238E27FC236}">
              <a16:creationId xmlns:a16="http://schemas.microsoft.com/office/drawing/2014/main" id="{22C97AA1-55F6-43B0-9B3A-5F3557DF9C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34" name="Picture 2895" descr="spacer">
          <a:extLst>
            <a:ext uri="{FF2B5EF4-FFF2-40B4-BE49-F238E27FC236}">
              <a16:creationId xmlns:a16="http://schemas.microsoft.com/office/drawing/2014/main" id="{520544F1-55F7-478F-A49B-2DECD7A80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35" name="Picture 2896" descr="spacer">
          <a:extLst>
            <a:ext uri="{FF2B5EF4-FFF2-40B4-BE49-F238E27FC236}">
              <a16:creationId xmlns:a16="http://schemas.microsoft.com/office/drawing/2014/main" id="{281DF59C-16B3-458E-9C96-C36BC5DC05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36" name="Picture 2897" descr="spacer">
          <a:extLst>
            <a:ext uri="{FF2B5EF4-FFF2-40B4-BE49-F238E27FC236}">
              <a16:creationId xmlns:a16="http://schemas.microsoft.com/office/drawing/2014/main" id="{EBE3D78A-632F-4269-A2EC-A25B58E025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37" name="Picture 2898" descr="spacer">
          <a:extLst>
            <a:ext uri="{FF2B5EF4-FFF2-40B4-BE49-F238E27FC236}">
              <a16:creationId xmlns:a16="http://schemas.microsoft.com/office/drawing/2014/main" id="{1556D58B-6FF2-4058-95CC-52FAC040F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38" name="Picture 2899" descr="spacer">
          <a:extLst>
            <a:ext uri="{FF2B5EF4-FFF2-40B4-BE49-F238E27FC236}">
              <a16:creationId xmlns:a16="http://schemas.microsoft.com/office/drawing/2014/main" id="{D27AE1F4-6107-409F-83C4-00B6BA9F0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39" name="Picture 2900" descr="spacer">
          <a:extLst>
            <a:ext uri="{FF2B5EF4-FFF2-40B4-BE49-F238E27FC236}">
              <a16:creationId xmlns:a16="http://schemas.microsoft.com/office/drawing/2014/main" id="{8CDDF51F-7847-458E-AB70-95A2E709C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40" name="Picture 2901" descr="spacer">
          <a:extLst>
            <a:ext uri="{FF2B5EF4-FFF2-40B4-BE49-F238E27FC236}">
              <a16:creationId xmlns:a16="http://schemas.microsoft.com/office/drawing/2014/main" id="{FE2CEA63-91B8-4865-B0A7-EA2B9CC34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41" name="Picture 2902" descr="spacer">
          <a:extLst>
            <a:ext uri="{FF2B5EF4-FFF2-40B4-BE49-F238E27FC236}">
              <a16:creationId xmlns:a16="http://schemas.microsoft.com/office/drawing/2014/main" id="{DA82FDB8-2AC5-47D6-97AD-16C39CD6B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742" name="Picture 2905" descr="spacer">
          <a:extLst>
            <a:ext uri="{FF2B5EF4-FFF2-40B4-BE49-F238E27FC236}">
              <a16:creationId xmlns:a16="http://schemas.microsoft.com/office/drawing/2014/main" id="{55F470FB-818B-4C26-8900-7A170FF960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43" name="Picture 2907" descr="spacer">
          <a:extLst>
            <a:ext uri="{FF2B5EF4-FFF2-40B4-BE49-F238E27FC236}">
              <a16:creationId xmlns:a16="http://schemas.microsoft.com/office/drawing/2014/main" id="{9056807D-30E2-4BAB-9347-D0D1CF123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44" name="Picture 2908" descr="spacer">
          <a:extLst>
            <a:ext uri="{FF2B5EF4-FFF2-40B4-BE49-F238E27FC236}">
              <a16:creationId xmlns:a16="http://schemas.microsoft.com/office/drawing/2014/main" id="{8D7E4C4D-C067-4893-9A8A-CB7D2896A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45" name="Picture 2909" descr="spacer">
          <a:extLst>
            <a:ext uri="{FF2B5EF4-FFF2-40B4-BE49-F238E27FC236}">
              <a16:creationId xmlns:a16="http://schemas.microsoft.com/office/drawing/2014/main" id="{501FB9BE-8B35-4888-BC27-F4DB9FED3E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46" name="Picture 2910" descr="spacer">
          <a:extLst>
            <a:ext uri="{FF2B5EF4-FFF2-40B4-BE49-F238E27FC236}">
              <a16:creationId xmlns:a16="http://schemas.microsoft.com/office/drawing/2014/main" id="{A3092F03-77B6-48F0-B44A-ED6000501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47" name="Picture 2911" descr="spacer">
          <a:extLst>
            <a:ext uri="{FF2B5EF4-FFF2-40B4-BE49-F238E27FC236}">
              <a16:creationId xmlns:a16="http://schemas.microsoft.com/office/drawing/2014/main" id="{F079E26D-B566-4B1F-92C8-9A0FFD3B2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48" name="Picture 2912" descr="spacer">
          <a:extLst>
            <a:ext uri="{FF2B5EF4-FFF2-40B4-BE49-F238E27FC236}">
              <a16:creationId xmlns:a16="http://schemas.microsoft.com/office/drawing/2014/main" id="{492CC175-FB6C-4F32-90F3-94B57B2A2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49" name="Picture 2913" descr="spacer">
          <a:extLst>
            <a:ext uri="{FF2B5EF4-FFF2-40B4-BE49-F238E27FC236}">
              <a16:creationId xmlns:a16="http://schemas.microsoft.com/office/drawing/2014/main" id="{026D38B7-A096-4CF1-90EF-F5F1EB04E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50" name="Picture 2914" descr="spacer">
          <a:extLst>
            <a:ext uri="{FF2B5EF4-FFF2-40B4-BE49-F238E27FC236}">
              <a16:creationId xmlns:a16="http://schemas.microsoft.com/office/drawing/2014/main" id="{AA587E41-158B-4A82-849B-D144DFC4A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51" name="Picture 2915" descr="spacer">
          <a:extLst>
            <a:ext uri="{FF2B5EF4-FFF2-40B4-BE49-F238E27FC236}">
              <a16:creationId xmlns:a16="http://schemas.microsoft.com/office/drawing/2014/main" id="{1FDF752C-8954-487D-9AC7-A7C971593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52" name="Picture 2916" descr="spacer">
          <a:extLst>
            <a:ext uri="{FF2B5EF4-FFF2-40B4-BE49-F238E27FC236}">
              <a16:creationId xmlns:a16="http://schemas.microsoft.com/office/drawing/2014/main" id="{B120F211-81D5-443B-AA73-10B784A14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53" name="Picture 2917" descr="spacer">
          <a:extLst>
            <a:ext uri="{FF2B5EF4-FFF2-40B4-BE49-F238E27FC236}">
              <a16:creationId xmlns:a16="http://schemas.microsoft.com/office/drawing/2014/main" id="{7C0707A2-8F38-4901-8B83-1A18F3FCA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54" name="Picture 2918" descr="spacer">
          <a:extLst>
            <a:ext uri="{FF2B5EF4-FFF2-40B4-BE49-F238E27FC236}">
              <a16:creationId xmlns:a16="http://schemas.microsoft.com/office/drawing/2014/main" id="{B81D6F37-F5B5-488B-A0AF-343B1F60D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55" name="Picture 2919" descr="spacer">
          <a:extLst>
            <a:ext uri="{FF2B5EF4-FFF2-40B4-BE49-F238E27FC236}">
              <a16:creationId xmlns:a16="http://schemas.microsoft.com/office/drawing/2014/main" id="{FF1BF588-D543-4C86-A0F8-94D2F2758E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756" name="Picture 2922" descr="spacer">
          <a:extLst>
            <a:ext uri="{FF2B5EF4-FFF2-40B4-BE49-F238E27FC236}">
              <a16:creationId xmlns:a16="http://schemas.microsoft.com/office/drawing/2014/main" id="{FAD073B2-2A37-416F-B77E-D7CECEA18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57" name="Picture 2924" descr="spacer">
          <a:extLst>
            <a:ext uri="{FF2B5EF4-FFF2-40B4-BE49-F238E27FC236}">
              <a16:creationId xmlns:a16="http://schemas.microsoft.com/office/drawing/2014/main" id="{43BB8A42-4DC5-4AD3-B272-3C43F43EF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58" name="Picture 2925" descr="spacer">
          <a:extLst>
            <a:ext uri="{FF2B5EF4-FFF2-40B4-BE49-F238E27FC236}">
              <a16:creationId xmlns:a16="http://schemas.microsoft.com/office/drawing/2014/main" id="{9F84BE5E-C47F-45BB-81FA-AFF1DD494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59" name="Picture 2926" descr="spacer">
          <a:extLst>
            <a:ext uri="{FF2B5EF4-FFF2-40B4-BE49-F238E27FC236}">
              <a16:creationId xmlns:a16="http://schemas.microsoft.com/office/drawing/2014/main" id="{CF703B6F-C102-42EF-9256-84F0A332F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60" name="Picture 2927" descr="spacer">
          <a:extLst>
            <a:ext uri="{FF2B5EF4-FFF2-40B4-BE49-F238E27FC236}">
              <a16:creationId xmlns:a16="http://schemas.microsoft.com/office/drawing/2014/main" id="{50C7061F-F0A6-4950-B492-46323EF0C7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61" name="Picture 2928" descr="spacer">
          <a:extLst>
            <a:ext uri="{FF2B5EF4-FFF2-40B4-BE49-F238E27FC236}">
              <a16:creationId xmlns:a16="http://schemas.microsoft.com/office/drawing/2014/main" id="{6A2E17F9-88FE-472C-9AF7-84A3DCC940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62" name="Picture 2929" descr="spacer">
          <a:extLst>
            <a:ext uri="{FF2B5EF4-FFF2-40B4-BE49-F238E27FC236}">
              <a16:creationId xmlns:a16="http://schemas.microsoft.com/office/drawing/2014/main" id="{E63133A2-E267-4682-AC0F-252133DC0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63" name="Picture 2930" descr="spacer">
          <a:extLst>
            <a:ext uri="{FF2B5EF4-FFF2-40B4-BE49-F238E27FC236}">
              <a16:creationId xmlns:a16="http://schemas.microsoft.com/office/drawing/2014/main" id="{D4D1F0E5-EAB7-453F-B3B8-E770D0A20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64" name="Picture 2931" descr="spacer">
          <a:extLst>
            <a:ext uri="{FF2B5EF4-FFF2-40B4-BE49-F238E27FC236}">
              <a16:creationId xmlns:a16="http://schemas.microsoft.com/office/drawing/2014/main" id="{69405ADF-7E24-42A5-BD7A-DFA764287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65" name="Picture 2932" descr="spacer">
          <a:extLst>
            <a:ext uri="{FF2B5EF4-FFF2-40B4-BE49-F238E27FC236}">
              <a16:creationId xmlns:a16="http://schemas.microsoft.com/office/drawing/2014/main" id="{92350A6F-B6DE-4839-A6C2-8E9FEBB2D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66" name="Picture 2933" descr="spacer">
          <a:extLst>
            <a:ext uri="{FF2B5EF4-FFF2-40B4-BE49-F238E27FC236}">
              <a16:creationId xmlns:a16="http://schemas.microsoft.com/office/drawing/2014/main" id="{62038075-E01A-44D4-B07D-D845F58EB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67" name="Picture 2934" descr="spacer">
          <a:extLst>
            <a:ext uri="{FF2B5EF4-FFF2-40B4-BE49-F238E27FC236}">
              <a16:creationId xmlns:a16="http://schemas.microsoft.com/office/drawing/2014/main" id="{FD44427B-F1B9-4E56-9D34-9E907BCDDC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68" name="Picture 2935" descr="spacer">
          <a:extLst>
            <a:ext uri="{FF2B5EF4-FFF2-40B4-BE49-F238E27FC236}">
              <a16:creationId xmlns:a16="http://schemas.microsoft.com/office/drawing/2014/main" id="{E862F5A8-7CF8-4606-BCE6-7B40D25C7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69" name="Picture 2936" descr="spacer">
          <a:extLst>
            <a:ext uri="{FF2B5EF4-FFF2-40B4-BE49-F238E27FC236}">
              <a16:creationId xmlns:a16="http://schemas.microsoft.com/office/drawing/2014/main" id="{698E5CC8-B7FF-4372-A466-92F3F49D7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70" name="Picture 2937" descr="spacer">
          <a:extLst>
            <a:ext uri="{FF2B5EF4-FFF2-40B4-BE49-F238E27FC236}">
              <a16:creationId xmlns:a16="http://schemas.microsoft.com/office/drawing/2014/main" id="{1175EB78-5A3F-47DC-B0C9-33271E4727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771" name="Picture 2940" descr="spacer">
          <a:extLst>
            <a:ext uri="{FF2B5EF4-FFF2-40B4-BE49-F238E27FC236}">
              <a16:creationId xmlns:a16="http://schemas.microsoft.com/office/drawing/2014/main" id="{51678105-9265-4165-A2E6-B1CAE9A1A8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72" name="Picture 2942" descr="spacer">
          <a:extLst>
            <a:ext uri="{FF2B5EF4-FFF2-40B4-BE49-F238E27FC236}">
              <a16:creationId xmlns:a16="http://schemas.microsoft.com/office/drawing/2014/main" id="{BE80EB2C-C87B-4254-B384-F22646340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73" name="Picture 2943" descr="spacer">
          <a:extLst>
            <a:ext uri="{FF2B5EF4-FFF2-40B4-BE49-F238E27FC236}">
              <a16:creationId xmlns:a16="http://schemas.microsoft.com/office/drawing/2014/main" id="{DBEEE968-8094-408E-9CF8-81BE32909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74" name="Picture 2944" descr="spacer">
          <a:extLst>
            <a:ext uri="{FF2B5EF4-FFF2-40B4-BE49-F238E27FC236}">
              <a16:creationId xmlns:a16="http://schemas.microsoft.com/office/drawing/2014/main" id="{A88FE378-D221-4130-BAB5-42AC4A79A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75" name="Picture 2945" descr="spacer">
          <a:extLst>
            <a:ext uri="{FF2B5EF4-FFF2-40B4-BE49-F238E27FC236}">
              <a16:creationId xmlns:a16="http://schemas.microsoft.com/office/drawing/2014/main" id="{07C133FA-8562-402C-80DE-4D179BA5D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76" name="Picture 2946" descr="spacer">
          <a:extLst>
            <a:ext uri="{FF2B5EF4-FFF2-40B4-BE49-F238E27FC236}">
              <a16:creationId xmlns:a16="http://schemas.microsoft.com/office/drawing/2014/main" id="{AE3B428A-4DEC-462E-9D25-9EA215027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77" name="Picture 2947" descr="spacer">
          <a:extLst>
            <a:ext uri="{FF2B5EF4-FFF2-40B4-BE49-F238E27FC236}">
              <a16:creationId xmlns:a16="http://schemas.microsoft.com/office/drawing/2014/main" id="{47371D14-F985-436C-A583-FA3CFC4AA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78" name="Picture 2948" descr="spacer">
          <a:extLst>
            <a:ext uri="{FF2B5EF4-FFF2-40B4-BE49-F238E27FC236}">
              <a16:creationId xmlns:a16="http://schemas.microsoft.com/office/drawing/2014/main" id="{096D3739-EEC0-47EE-8004-E96ACF9D8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79" name="Picture 2949" descr="spacer">
          <a:extLst>
            <a:ext uri="{FF2B5EF4-FFF2-40B4-BE49-F238E27FC236}">
              <a16:creationId xmlns:a16="http://schemas.microsoft.com/office/drawing/2014/main" id="{C68E82C9-C857-49C2-9D58-6C710BF1E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80" name="Picture 2950" descr="spacer">
          <a:extLst>
            <a:ext uri="{FF2B5EF4-FFF2-40B4-BE49-F238E27FC236}">
              <a16:creationId xmlns:a16="http://schemas.microsoft.com/office/drawing/2014/main" id="{B1752D85-4A5A-4EC0-AF0D-51AEEA4DE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81" name="Picture 2951" descr="spacer">
          <a:extLst>
            <a:ext uri="{FF2B5EF4-FFF2-40B4-BE49-F238E27FC236}">
              <a16:creationId xmlns:a16="http://schemas.microsoft.com/office/drawing/2014/main" id="{1872F80F-2D33-4033-88F8-30F51E766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82" name="Picture 2952" descr="spacer">
          <a:extLst>
            <a:ext uri="{FF2B5EF4-FFF2-40B4-BE49-F238E27FC236}">
              <a16:creationId xmlns:a16="http://schemas.microsoft.com/office/drawing/2014/main" id="{A2D74EA4-71C7-4FE3-8609-13E741B24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83" name="Picture 2953" descr="spacer">
          <a:extLst>
            <a:ext uri="{FF2B5EF4-FFF2-40B4-BE49-F238E27FC236}">
              <a16:creationId xmlns:a16="http://schemas.microsoft.com/office/drawing/2014/main" id="{50B166DF-BEE4-487A-B11E-74368D233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784" name="Picture 2956" descr="spacer">
          <a:extLst>
            <a:ext uri="{FF2B5EF4-FFF2-40B4-BE49-F238E27FC236}">
              <a16:creationId xmlns:a16="http://schemas.microsoft.com/office/drawing/2014/main" id="{2D5C0F89-389A-4003-8788-ABA7856CA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85" name="Picture 2958" descr="spacer">
          <a:extLst>
            <a:ext uri="{FF2B5EF4-FFF2-40B4-BE49-F238E27FC236}">
              <a16:creationId xmlns:a16="http://schemas.microsoft.com/office/drawing/2014/main" id="{F6D450E8-7351-47B3-9D3C-3E2D58A63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86" name="Picture 2959" descr="spacer">
          <a:extLst>
            <a:ext uri="{FF2B5EF4-FFF2-40B4-BE49-F238E27FC236}">
              <a16:creationId xmlns:a16="http://schemas.microsoft.com/office/drawing/2014/main" id="{56793A57-2AA8-4CD6-9A4A-4BC4A4218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87" name="Picture 2960" descr="spacer">
          <a:extLst>
            <a:ext uri="{FF2B5EF4-FFF2-40B4-BE49-F238E27FC236}">
              <a16:creationId xmlns:a16="http://schemas.microsoft.com/office/drawing/2014/main" id="{9FCCEF7C-5F93-47BD-9176-114672693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88" name="Picture 2961" descr="spacer">
          <a:extLst>
            <a:ext uri="{FF2B5EF4-FFF2-40B4-BE49-F238E27FC236}">
              <a16:creationId xmlns:a16="http://schemas.microsoft.com/office/drawing/2014/main" id="{1530EF09-54F3-48C3-9453-4C9D45F08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89" name="Picture 2962" descr="spacer">
          <a:extLst>
            <a:ext uri="{FF2B5EF4-FFF2-40B4-BE49-F238E27FC236}">
              <a16:creationId xmlns:a16="http://schemas.microsoft.com/office/drawing/2014/main" id="{202C8B51-4A67-4749-A557-7AA4349A9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90" name="Picture 2963" descr="spacer">
          <a:extLst>
            <a:ext uri="{FF2B5EF4-FFF2-40B4-BE49-F238E27FC236}">
              <a16:creationId xmlns:a16="http://schemas.microsoft.com/office/drawing/2014/main" id="{33DA7AD7-4C36-4C76-9836-499C29E8F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91" name="Picture 2964" descr="spacer">
          <a:extLst>
            <a:ext uri="{FF2B5EF4-FFF2-40B4-BE49-F238E27FC236}">
              <a16:creationId xmlns:a16="http://schemas.microsoft.com/office/drawing/2014/main" id="{ED48FFB1-6177-43BB-9F14-3E8149099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92" name="Picture 2965" descr="spacer">
          <a:extLst>
            <a:ext uri="{FF2B5EF4-FFF2-40B4-BE49-F238E27FC236}">
              <a16:creationId xmlns:a16="http://schemas.microsoft.com/office/drawing/2014/main" id="{DF1324D1-083B-4501-848B-FDD6156CA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93" name="Picture 2966" descr="spacer">
          <a:extLst>
            <a:ext uri="{FF2B5EF4-FFF2-40B4-BE49-F238E27FC236}">
              <a16:creationId xmlns:a16="http://schemas.microsoft.com/office/drawing/2014/main" id="{61832A2F-E508-4B3E-95F2-FA22323A3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94" name="Picture 2967" descr="spacer">
          <a:extLst>
            <a:ext uri="{FF2B5EF4-FFF2-40B4-BE49-F238E27FC236}">
              <a16:creationId xmlns:a16="http://schemas.microsoft.com/office/drawing/2014/main" id="{98175EBD-1B88-4B9E-9FD6-ABEB7D77F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95" name="Picture 2968" descr="spacer">
          <a:extLst>
            <a:ext uri="{FF2B5EF4-FFF2-40B4-BE49-F238E27FC236}">
              <a16:creationId xmlns:a16="http://schemas.microsoft.com/office/drawing/2014/main" id="{D85138D4-9755-4D0A-A565-FF36A51CF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96" name="Picture 2969" descr="spacer">
          <a:extLst>
            <a:ext uri="{FF2B5EF4-FFF2-40B4-BE49-F238E27FC236}">
              <a16:creationId xmlns:a16="http://schemas.microsoft.com/office/drawing/2014/main" id="{4CE06C6C-7010-435B-A074-F3DD848F7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97" name="Picture 2970" descr="spacer">
          <a:extLst>
            <a:ext uri="{FF2B5EF4-FFF2-40B4-BE49-F238E27FC236}">
              <a16:creationId xmlns:a16="http://schemas.microsoft.com/office/drawing/2014/main" id="{43EB33D5-47D0-482B-932B-120C3E5D0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798" name="Picture 2973" descr="spacer">
          <a:extLst>
            <a:ext uri="{FF2B5EF4-FFF2-40B4-BE49-F238E27FC236}">
              <a16:creationId xmlns:a16="http://schemas.microsoft.com/office/drawing/2014/main" id="{9E9E8F92-A951-4358-9312-CFD2F7729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799" name="Picture 2975" descr="spacer">
          <a:extLst>
            <a:ext uri="{FF2B5EF4-FFF2-40B4-BE49-F238E27FC236}">
              <a16:creationId xmlns:a16="http://schemas.microsoft.com/office/drawing/2014/main" id="{23E73EAA-6435-4244-894F-66A621CD7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00" name="Picture 2976" descr="spacer">
          <a:extLst>
            <a:ext uri="{FF2B5EF4-FFF2-40B4-BE49-F238E27FC236}">
              <a16:creationId xmlns:a16="http://schemas.microsoft.com/office/drawing/2014/main" id="{A586547E-DAF4-4880-8216-5251FE85D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01" name="Picture 2977" descr="spacer">
          <a:extLst>
            <a:ext uri="{FF2B5EF4-FFF2-40B4-BE49-F238E27FC236}">
              <a16:creationId xmlns:a16="http://schemas.microsoft.com/office/drawing/2014/main" id="{8A10D4F0-1B71-4AF8-82DF-202E805971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02" name="Picture 2978" descr="spacer">
          <a:extLst>
            <a:ext uri="{FF2B5EF4-FFF2-40B4-BE49-F238E27FC236}">
              <a16:creationId xmlns:a16="http://schemas.microsoft.com/office/drawing/2014/main" id="{2B8B3603-CB8C-428D-AA92-C8A2E1BE59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03" name="Picture 2979" descr="spacer">
          <a:extLst>
            <a:ext uri="{FF2B5EF4-FFF2-40B4-BE49-F238E27FC236}">
              <a16:creationId xmlns:a16="http://schemas.microsoft.com/office/drawing/2014/main" id="{5EA47E2C-168F-4A20-83F3-1B6DB41DE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04" name="Picture 2980" descr="spacer">
          <a:extLst>
            <a:ext uri="{FF2B5EF4-FFF2-40B4-BE49-F238E27FC236}">
              <a16:creationId xmlns:a16="http://schemas.microsoft.com/office/drawing/2014/main" id="{D3498FAB-75B8-4A66-A939-6ABDD8E3F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05" name="Picture 2981" descr="spacer">
          <a:extLst>
            <a:ext uri="{FF2B5EF4-FFF2-40B4-BE49-F238E27FC236}">
              <a16:creationId xmlns:a16="http://schemas.microsoft.com/office/drawing/2014/main" id="{D23ED96C-97BF-4872-86B3-A21E99FFA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06" name="Picture 2982" descr="spacer">
          <a:extLst>
            <a:ext uri="{FF2B5EF4-FFF2-40B4-BE49-F238E27FC236}">
              <a16:creationId xmlns:a16="http://schemas.microsoft.com/office/drawing/2014/main" id="{41877E98-4E34-4341-B827-E3CAE6444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07" name="Picture 2983" descr="spacer">
          <a:extLst>
            <a:ext uri="{FF2B5EF4-FFF2-40B4-BE49-F238E27FC236}">
              <a16:creationId xmlns:a16="http://schemas.microsoft.com/office/drawing/2014/main" id="{941ED031-7B52-4B50-AE9E-DFB073402B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08" name="Picture 2984" descr="spacer">
          <a:extLst>
            <a:ext uri="{FF2B5EF4-FFF2-40B4-BE49-F238E27FC236}">
              <a16:creationId xmlns:a16="http://schemas.microsoft.com/office/drawing/2014/main" id="{F0F5F8FC-692A-4E4C-8B16-FA2ADF09C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09" name="Picture 2985" descr="spacer">
          <a:extLst>
            <a:ext uri="{FF2B5EF4-FFF2-40B4-BE49-F238E27FC236}">
              <a16:creationId xmlns:a16="http://schemas.microsoft.com/office/drawing/2014/main" id="{523F8F93-A667-4304-A352-888669BEC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10" name="Picture 2986" descr="spacer">
          <a:extLst>
            <a:ext uri="{FF2B5EF4-FFF2-40B4-BE49-F238E27FC236}">
              <a16:creationId xmlns:a16="http://schemas.microsoft.com/office/drawing/2014/main" id="{6C0014D4-9604-4CB0-87F8-FA1DAFEF43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11" name="Picture 2987" descr="spacer">
          <a:extLst>
            <a:ext uri="{FF2B5EF4-FFF2-40B4-BE49-F238E27FC236}">
              <a16:creationId xmlns:a16="http://schemas.microsoft.com/office/drawing/2014/main" id="{546FAE6D-45DF-4A2C-8691-11E5905CE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12" name="Picture 2988" descr="spacer">
          <a:extLst>
            <a:ext uri="{FF2B5EF4-FFF2-40B4-BE49-F238E27FC236}">
              <a16:creationId xmlns:a16="http://schemas.microsoft.com/office/drawing/2014/main" id="{2D52A29F-FF6F-412D-9FCE-BB2C2D9A9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813" name="Picture 2991" descr="spacer">
          <a:extLst>
            <a:ext uri="{FF2B5EF4-FFF2-40B4-BE49-F238E27FC236}">
              <a16:creationId xmlns:a16="http://schemas.microsoft.com/office/drawing/2014/main" id="{3403BFF5-9587-4DF6-89DD-CB8F47710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14" name="Picture 2993" descr="spacer">
          <a:extLst>
            <a:ext uri="{FF2B5EF4-FFF2-40B4-BE49-F238E27FC236}">
              <a16:creationId xmlns:a16="http://schemas.microsoft.com/office/drawing/2014/main" id="{521353F9-00FA-450B-83E9-F17CBB4AB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15" name="Picture 2994" descr="spacer">
          <a:extLst>
            <a:ext uri="{FF2B5EF4-FFF2-40B4-BE49-F238E27FC236}">
              <a16:creationId xmlns:a16="http://schemas.microsoft.com/office/drawing/2014/main" id="{A4CF7385-A5B7-4356-BE80-984CF6433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16" name="Picture 2995" descr="spacer">
          <a:extLst>
            <a:ext uri="{FF2B5EF4-FFF2-40B4-BE49-F238E27FC236}">
              <a16:creationId xmlns:a16="http://schemas.microsoft.com/office/drawing/2014/main" id="{6F3EC4B1-83DA-4849-94E8-651BCC2EFC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17" name="Picture 2996" descr="spacer">
          <a:extLst>
            <a:ext uri="{FF2B5EF4-FFF2-40B4-BE49-F238E27FC236}">
              <a16:creationId xmlns:a16="http://schemas.microsoft.com/office/drawing/2014/main" id="{867F92A1-80EC-4D90-989A-B70FE7F50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18" name="Picture 2997" descr="spacer">
          <a:extLst>
            <a:ext uri="{FF2B5EF4-FFF2-40B4-BE49-F238E27FC236}">
              <a16:creationId xmlns:a16="http://schemas.microsoft.com/office/drawing/2014/main" id="{981FCC1D-F5FF-49EA-9968-3437DCD0D6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19" name="Picture 2998" descr="spacer">
          <a:extLst>
            <a:ext uri="{FF2B5EF4-FFF2-40B4-BE49-F238E27FC236}">
              <a16:creationId xmlns:a16="http://schemas.microsoft.com/office/drawing/2014/main" id="{1BDA899A-BCFA-4B69-B925-48A25E348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20" name="Picture 2999" descr="spacer">
          <a:extLst>
            <a:ext uri="{FF2B5EF4-FFF2-40B4-BE49-F238E27FC236}">
              <a16:creationId xmlns:a16="http://schemas.microsoft.com/office/drawing/2014/main" id="{5A54F4C7-361F-448C-9DFC-D95CA157F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21" name="Picture 3000" descr="spacer">
          <a:extLst>
            <a:ext uri="{FF2B5EF4-FFF2-40B4-BE49-F238E27FC236}">
              <a16:creationId xmlns:a16="http://schemas.microsoft.com/office/drawing/2014/main" id="{065256C7-C596-4B9A-ACC9-C4326F2F7B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22" name="Picture 3001" descr="spacer">
          <a:extLst>
            <a:ext uri="{FF2B5EF4-FFF2-40B4-BE49-F238E27FC236}">
              <a16:creationId xmlns:a16="http://schemas.microsoft.com/office/drawing/2014/main" id="{42EA8E53-CF85-4740-8DE0-9707F12A1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23" name="Picture 3002" descr="spacer">
          <a:extLst>
            <a:ext uri="{FF2B5EF4-FFF2-40B4-BE49-F238E27FC236}">
              <a16:creationId xmlns:a16="http://schemas.microsoft.com/office/drawing/2014/main" id="{3316E1D6-209E-4854-BE93-7BE5691961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24" name="Picture 3003" descr="spacer">
          <a:extLst>
            <a:ext uri="{FF2B5EF4-FFF2-40B4-BE49-F238E27FC236}">
              <a16:creationId xmlns:a16="http://schemas.microsoft.com/office/drawing/2014/main" id="{1E1B92C0-78D2-4169-A42C-9BCD173363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25" name="Picture 3004" descr="spacer">
          <a:extLst>
            <a:ext uri="{FF2B5EF4-FFF2-40B4-BE49-F238E27FC236}">
              <a16:creationId xmlns:a16="http://schemas.microsoft.com/office/drawing/2014/main" id="{8C25F1DF-39DD-44A3-8539-84DDFCBF4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26" name="Picture 3005" descr="spacer">
          <a:extLst>
            <a:ext uri="{FF2B5EF4-FFF2-40B4-BE49-F238E27FC236}">
              <a16:creationId xmlns:a16="http://schemas.microsoft.com/office/drawing/2014/main" id="{686CA325-F102-495F-BE51-179B39379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27" name="Picture 3006" descr="spacer">
          <a:extLst>
            <a:ext uri="{FF2B5EF4-FFF2-40B4-BE49-F238E27FC236}">
              <a16:creationId xmlns:a16="http://schemas.microsoft.com/office/drawing/2014/main" id="{C01175F8-58BF-476E-BE8D-AA7F3B5C7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828" name="Picture 3009" descr="spacer">
          <a:extLst>
            <a:ext uri="{FF2B5EF4-FFF2-40B4-BE49-F238E27FC236}">
              <a16:creationId xmlns:a16="http://schemas.microsoft.com/office/drawing/2014/main" id="{E3C75C9F-979B-4C1F-9D1A-37AE285D5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29" name="Picture 3011" descr="spacer">
          <a:extLst>
            <a:ext uri="{FF2B5EF4-FFF2-40B4-BE49-F238E27FC236}">
              <a16:creationId xmlns:a16="http://schemas.microsoft.com/office/drawing/2014/main" id="{8F8F09D2-21E2-49F6-BCC5-F7756E9190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30" name="Picture 3012" descr="spacer">
          <a:extLst>
            <a:ext uri="{FF2B5EF4-FFF2-40B4-BE49-F238E27FC236}">
              <a16:creationId xmlns:a16="http://schemas.microsoft.com/office/drawing/2014/main" id="{7E14F131-601A-47A0-A9E3-126252733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31" name="Picture 3013" descr="spacer">
          <a:extLst>
            <a:ext uri="{FF2B5EF4-FFF2-40B4-BE49-F238E27FC236}">
              <a16:creationId xmlns:a16="http://schemas.microsoft.com/office/drawing/2014/main" id="{8E6B9D55-BAE2-4D8A-AD4F-AD5541FE6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32" name="Picture 3014" descr="spacer">
          <a:extLst>
            <a:ext uri="{FF2B5EF4-FFF2-40B4-BE49-F238E27FC236}">
              <a16:creationId xmlns:a16="http://schemas.microsoft.com/office/drawing/2014/main" id="{AAD951BC-C93D-49BA-A463-E4EFECB88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33" name="Picture 3015" descr="spacer">
          <a:extLst>
            <a:ext uri="{FF2B5EF4-FFF2-40B4-BE49-F238E27FC236}">
              <a16:creationId xmlns:a16="http://schemas.microsoft.com/office/drawing/2014/main" id="{589DB0D5-8F20-43CE-80E4-901B49FF7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34" name="Picture 3016" descr="spacer">
          <a:extLst>
            <a:ext uri="{FF2B5EF4-FFF2-40B4-BE49-F238E27FC236}">
              <a16:creationId xmlns:a16="http://schemas.microsoft.com/office/drawing/2014/main" id="{F90A16E0-9B25-45B7-B9B1-0CE378E50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35" name="Picture 3017" descr="spacer">
          <a:extLst>
            <a:ext uri="{FF2B5EF4-FFF2-40B4-BE49-F238E27FC236}">
              <a16:creationId xmlns:a16="http://schemas.microsoft.com/office/drawing/2014/main" id="{6B0DD09D-439C-4BB7-B698-3629797D6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36" name="Picture 3018" descr="spacer">
          <a:extLst>
            <a:ext uri="{FF2B5EF4-FFF2-40B4-BE49-F238E27FC236}">
              <a16:creationId xmlns:a16="http://schemas.microsoft.com/office/drawing/2014/main" id="{CEDBD848-2C8A-4922-8E15-DB9FEC493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37" name="Picture 3019" descr="spacer">
          <a:extLst>
            <a:ext uri="{FF2B5EF4-FFF2-40B4-BE49-F238E27FC236}">
              <a16:creationId xmlns:a16="http://schemas.microsoft.com/office/drawing/2014/main" id="{D20FD2E4-DB53-433C-8D59-8394FB8C7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38" name="Picture 3020" descr="spacer">
          <a:extLst>
            <a:ext uri="{FF2B5EF4-FFF2-40B4-BE49-F238E27FC236}">
              <a16:creationId xmlns:a16="http://schemas.microsoft.com/office/drawing/2014/main" id="{9A0B9830-5D7A-4621-8171-6D7345522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39" name="Picture 3021" descr="spacer">
          <a:extLst>
            <a:ext uri="{FF2B5EF4-FFF2-40B4-BE49-F238E27FC236}">
              <a16:creationId xmlns:a16="http://schemas.microsoft.com/office/drawing/2014/main" id="{518DEFE5-772C-4470-A4B9-5BEF763CE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40" name="Picture 3022" descr="spacer">
          <a:extLst>
            <a:ext uri="{FF2B5EF4-FFF2-40B4-BE49-F238E27FC236}">
              <a16:creationId xmlns:a16="http://schemas.microsoft.com/office/drawing/2014/main" id="{AC662979-E2FA-424A-92D1-8466F5EF2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41" name="Picture 3023" descr="spacer">
          <a:extLst>
            <a:ext uri="{FF2B5EF4-FFF2-40B4-BE49-F238E27FC236}">
              <a16:creationId xmlns:a16="http://schemas.microsoft.com/office/drawing/2014/main" id="{D83D12E9-CBA3-4E0E-8748-8F79061B3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42" name="Picture 3024" descr="spacer">
          <a:extLst>
            <a:ext uri="{FF2B5EF4-FFF2-40B4-BE49-F238E27FC236}">
              <a16:creationId xmlns:a16="http://schemas.microsoft.com/office/drawing/2014/main" id="{644A0509-AD88-4D98-9950-44E35D96E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43" name="Picture 3025" descr="spacer">
          <a:extLst>
            <a:ext uri="{FF2B5EF4-FFF2-40B4-BE49-F238E27FC236}">
              <a16:creationId xmlns:a16="http://schemas.microsoft.com/office/drawing/2014/main" id="{EAA361DD-947F-4F76-81ED-1E211D0AD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844" name="Picture 3028" descr="spacer">
          <a:extLst>
            <a:ext uri="{FF2B5EF4-FFF2-40B4-BE49-F238E27FC236}">
              <a16:creationId xmlns:a16="http://schemas.microsoft.com/office/drawing/2014/main" id="{FDC33BC2-7766-4565-8498-EC213241F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45" name="Picture 3030" descr="spacer">
          <a:extLst>
            <a:ext uri="{FF2B5EF4-FFF2-40B4-BE49-F238E27FC236}">
              <a16:creationId xmlns:a16="http://schemas.microsoft.com/office/drawing/2014/main" id="{B6D493CF-3C47-40F4-9180-D1B7F3F39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46" name="Picture 3031" descr="spacer">
          <a:extLst>
            <a:ext uri="{FF2B5EF4-FFF2-40B4-BE49-F238E27FC236}">
              <a16:creationId xmlns:a16="http://schemas.microsoft.com/office/drawing/2014/main" id="{1E35EF02-904B-4FCD-AB9E-269556804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47" name="Picture 3032" descr="spacer">
          <a:extLst>
            <a:ext uri="{FF2B5EF4-FFF2-40B4-BE49-F238E27FC236}">
              <a16:creationId xmlns:a16="http://schemas.microsoft.com/office/drawing/2014/main" id="{2EF54B67-656E-428F-9CA0-EB20E8045F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48" name="Picture 3033" descr="spacer">
          <a:extLst>
            <a:ext uri="{FF2B5EF4-FFF2-40B4-BE49-F238E27FC236}">
              <a16:creationId xmlns:a16="http://schemas.microsoft.com/office/drawing/2014/main" id="{EFABD2A6-062A-4CB8-ABE0-B3EAFA5DD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49" name="Picture 3034" descr="spacer">
          <a:extLst>
            <a:ext uri="{FF2B5EF4-FFF2-40B4-BE49-F238E27FC236}">
              <a16:creationId xmlns:a16="http://schemas.microsoft.com/office/drawing/2014/main" id="{253FE996-86FA-41F2-BE1A-CC4AC38A81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50" name="Picture 3035" descr="spacer">
          <a:extLst>
            <a:ext uri="{FF2B5EF4-FFF2-40B4-BE49-F238E27FC236}">
              <a16:creationId xmlns:a16="http://schemas.microsoft.com/office/drawing/2014/main" id="{75631C03-62EC-4102-BCBB-FD6323DF31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51" name="Picture 3036" descr="spacer">
          <a:extLst>
            <a:ext uri="{FF2B5EF4-FFF2-40B4-BE49-F238E27FC236}">
              <a16:creationId xmlns:a16="http://schemas.microsoft.com/office/drawing/2014/main" id="{A63BF41F-C1DE-4EF7-895C-CC92333A7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52" name="Picture 3037" descr="spacer">
          <a:extLst>
            <a:ext uri="{FF2B5EF4-FFF2-40B4-BE49-F238E27FC236}">
              <a16:creationId xmlns:a16="http://schemas.microsoft.com/office/drawing/2014/main" id="{6FA08E56-E618-48DE-BE7D-601E496EE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53" name="Picture 3038" descr="spacer">
          <a:extLst>
            <a:ext uri="{FF2B5EF4-FFF2-40B4-BE49-F238E27FC236}">
              <a16:creationId xmlns:a16="http://schemas.microsoft.com/office/drawing/2014/main" id="{41FAE76E-2406-449C-85A6-C9AAB4107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54" name="Picture 3039" descr="spacer">
          <a:extLst>
            <a:ext uri="{FF2B5EF4-FFF2-40B4-BE49-F238E27FC236}">
              <a16:creationId xmlns:a16="http://schemas.microsoft.com/office/drawing/2014/main" id="{43E6DF62-BB94-4BBB-A2CD-D5FFE742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55" name="Picture 3040" descr="spacer">
          <a:extLst>
            <a:ext uri="{FF2B5EF4-FFF2-40B4-BE49-F238E27FC236}">
              <a16:creationId xmlns:a16="http://schemas.microsoft.com/office/drawing/2014/main" id="{919970C5-24F8-42CB-92D3-8E828227D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56" name="Picture 3041" descr="spacer">
          <a:extLst>
            <a:ext uri="{FF2B5EF4-FFF2-40B4-BE49-F238E27FC236}">
              <a16:creationId xmlns:a16="http://schemas.microsoft.com/office/drawing/2014/main" id="{68FF22AC-EA7E-43E6-8C04-FF88AE95F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57" name="Picture 3042" descr="spacer">
          <a:extLst>
            <a:ext uri="{FF2B5EF4-FFF2-40B4-BE49-F238E27FC236}">
              <a16:creationId xmlns:a16="http://schemas.microsoft.com/office/drawing/2014/main" id="{4FCA0053-CCCD-40E2-A636-5A44055BC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58" name="Picture 3043" descr="spacer">
          <a:extLst>
            <a:ext uri="{FF2B5EF4-FFF2-40B4-BE49-F238E27FC236}">
              <a16:creationId xmlns:a16="http://schemas.microsoft.com/office/drawing/2014/main" id="{E52296A1-6A46-4A57-86C0-2467A3C33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859" name="Picture 3046" descr="spacer">
          <a:extLst>
            <a:ext uri="{FF2B5EF4-FFF2-40B4-BE49-F238E27FC236}">
              <a16:creationId xmlns:a16="http://schemas.microsoft.com/office/drawing/2014/main" id="{A27246B1-F868-4858-89E1-55C79C46E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60" name="Picture 3048" descr="spacer">
          <a:extLst>
            <a:ext uri="{FF2B5EF4-FFF2-40B4-BE49-F238E27FC236}">
              <a16:creationId xmlns:a16="http://schemas.microsoft.com/office/drawing/2014/main" id="{5A2F16A9-C55C-46ED-9EBD-7EA5E7825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61" name="Picture 3049" descr="spacer">
          <a:extLst>
            <a:ext uri="{FF2B5EF4-FFF2-40B4-BE49-F238E27FC236}">
              <a16:creationId xmlns:a16="http://schemas.microsoft.com/office/drawing/2014/main" id="{FF7D9283-056C-47FE-A611-055E29027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62" name="Picture 3050" descr="spacer">
          <a:extLst>
            <a:ext uri="{FF2B5EF4-FFF2-40B4-BE49-F238E27FC236}">
              <a16:creationId xmlns:a16="http://schemas.microsoft.com/office/drawing/2014/main" id="{4DC271F7-5889-485E-B69D-3884796CD1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63" name="Picture 3051" descr="spacer">
          <a:extLst>
            <a:ext uri="{FF2B5EF4-FFF2-40B4-BE49-F238E27FC236}">
              <a16:creationId xmlns:a16="http://schemas.microsoft.com/office/drawing/2014/main" id="{56A1415E-C3D4-47DB-B094-90DE2F67FB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64" name="Picture 3052" descr="spacer">
          <a:extLst>
            <a:ext uri="{FF2B5EF4-FFF2-40B4-BE49-F238E27FC236}">
              <a16:creationId xmlns:a16="http://schemas.microsoft.com/office/drawing/2014/main" id="{45FD7743-B09A-4041-8D49-87C09FB8E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65" name="Picture 3053" descr="spacer">
          <a:extLst>
            <a:ext uri="{FF2B5EF4-FFF2-40B4-BE49-F238E27FC236}">
              <a16:creationId xmlns:a16="http://schemas.microsoft.com/office/drawing/2014/main" id="{C1E95491-07C4-4190-B518-C92FC6AAC1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66" name="Picture 3054" descr="spacer">
          <a:extLst>
            <a:ext uri="{FF2B5EF4-FFF2-40B4-BE49-F238E27FC236}">
              <a16:creationId xmlns:a16="http://schemas.microsoft.com/office/drawing/2014/main" id="{3A48614F-451D-4EB5-951D-83B72DFBE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67" name="Picture 3055" descr="spacer">
          <a:extLst>
            <a:ext uri="{FF2B5EF4-FFF2-40B4-BE49-F238E27FC236}">
              <a16:creationId xmlns:a16="http://schemas.microsoft.com/office/drawing/2014/main" id="{F802D4DA-0C17-4E6E-B3DD-52D512C29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68" name="Picture 3056" descr="spacer">
          <a:extLst>
            <a:ext uri="{FF2B5EF4-FFF2-40B4-BE49-F238E27FC236}">
              <a16:creationId xmlns:a16="http://schemas.microsoft.com/office/drawing/2014/main" id="{C19D0699-3BFE-4DA5-AFB3-8372F65159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69" name="Picture 3057" descr="spacer">
          <a:extLst>
            <a:ext uri="{FF2B5EF4-FFF2-40B4-BE49-F238E27FC236}">
              <a16:creationId xmlns:a16="http://schemas.microsoft.com/office/drawing/2014/main" id="{33965599-C904-42F5-AABE-200DAA129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70" name="Picture 3058" descr="spacer">
          <a:extLst>
            <a:ext uri="{FF2B5EF4-FFF2-40B4-BE49-F238E27FC236}">
              <a16:creationId xmlns:a16="http://schemas.microsoft.com/office/drawing/2014/main" id="{A14B587C-A043-4CE0-AC0E-1CCAE7B36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71" name="Picture 3059" descr="spacer">
          <a:extLst>
            <a:ext uri="{FF2B5EF4-FFF2-40B4-BE49-F238E27FC236}">
              <a16:creationId xmlns:a16="http://schemas.microsoft.com/office/drawing/2014/main" id="{5A79B948-7918-4975-889E-A9863FA39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72" name="Picture 3060" descr="spacer">
          <a:extLst>
            <a:ext uri="{FF2B5EF4-FFF2-40B4-BE49-F238E27FC236}">
              <a16:creationId xmlns:a16="http://schemas.microsoft.com/office/drawing/2014/main" id="{4EF83DE2-1F18-4F22-88DE-31C08F5C0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73" name="Picture 3061" descr="spacer">
          <a:extLst>
            <a:ext uri="{FF2B5EF4-FFF2-40B4-BE49-F238E27FC236}">
              <a16:creationId xmlns:a16="http://schemas.microsoft.com/office/drawing/2014/main" id="{29C6B36F-3844-449E-87C6-E14B2A024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874" name="Picture 3064" descr="spacer">
          <a:extLst>
            <a:ext uri="{FF2B5EF4-FFF2-40B4-BE49-F238E27FC236}">
              <a16:creationId xmlns:a16="http://schemas.microsoft.com/office/drawing/2014/main" id="{E57B926E-3DB0-499E-98EF-689E3E541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75" name="Picture 3066" descr="spacer">
          <a:extLst>
            <a:ext uri="{FF2B5EF4-FFF2-40B4-BE49-F238E27FC236}">
              <a16:creationId xmlns:a16="http://schemas.microsoft.com/office/drawing/2014/main" id="{D927F630-CE2E-45A8-8B6E-EB30EAF78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76" name="Picture 3067" descr="spacer">
          <a:extLst>
            <a:ext uri="{FF2B5EF4-FFF2-40B4-BE49-F238E27FC236}">
              <a16:creationId xmlns:a16="http://schemas.microsoft.com/office/drawing/2014/main" id="{9913EE6D-7DFE-4CFA-8C28-DD54529525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77" name="Picture 3068" descr="spacer">
          <a:extLst>
            <a:ext uri="{FF2B5EF4-FFF2-40B4-BE49-F238E27FC236}">
              <a16:creationId xmlns:a16="http://schemas.microsoft.com/office/drawing/2014/main" id="{CDBE4EBC-7B4E-41AB-9EC1-2DE564CB99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78" name="Picture 3069" descr="spacer">
          <a:extLst>
            <a:ext uri="{FF2B5EF4-FFF2-40B4-BE49-F238E27FC236}">
              <a16:creationId xmlns:a16="http://schemas.microsoft.com/office/drawing/2014/main" id="{E7DB3362-C019-41B1-BC1C-538E58E928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79" name="Picture 3070" descr="spacer">
          <a:extLst>
            <a:ext uri="{FF2B5EF4-FFF2-40B4-BE49-F238E27FC236}">
              <a16:creationId xmlns:a16="http://schemas.microsoft.com/office/drawing/2014/main" id="{5327973A-86EB-4058-A9B1-664CD3468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80" name="Picture 3071" descr="spacer">
          <a:extLst>
            <a:ext uri="{FF2B5EF4-FFF2-40B4-BE49-F238E27FC236}">
              <a16:creationId xmlns:a16="http://schemas.microsoft.com/office/drawing/2014/main" id="{9CB86C8E-5251-40FF-A8B5-B40FD9F95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81" name="Picture 3072" descr="spacer">
          <a:extLst>
            <a:ext uri="{FF2B5EF4-FFF2-40B4-BE49-F238E27FC236}">
              <a16:creationId xmlns:a16="http://schemas.microsoft.com/office/drawing/2014/main" id="{2E31A645-8A8E-44C2-B4F7-E77E1AF7B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82" name="Picture 3073" descr="spacer">
          <a:extLst>
            <a:ext uri="{FF2B5EF4-FFF2-40B4-BE49-F238E27FC236}">
              <a16:creationId xmlns:a16="http://schemas.microsoft.com/office/drawing/2014/main" id="{562A7057-6619-46A1-99E8-8E1F49D6C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83" name="Picture 3074" descr="spacer">
          <a:extLst>
            <a:ext uri="{FF2B5EF4-FFF2-40B4-BE49-F238E27FC236}">
              <a16:creationId xmlns:a16="http://schemas.microsoft.com/office/drawing/2014/main" id="{19853460-CF6C-4C68-93EF-01AFA25D7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84" name="Picture 3075" descr="spacer">
          <a:extLst>
            <a:ext uri="{FF2B5EF4-FFF2-40B4-BE49-F238E27FC236}">
              <a16:creationId xmlns:a16="http://schemas.microsoft.com/office/drawing/2014/main" id="{A2141A39-422A-4287-BD3F-9779C3C7A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85" name="Picture 3076" descr="spacer">
          <a:extLst>
            <a:ext uri="{FF2B5EF4-FFF2-40B4-BE49-F238E27FC236}">
              <a16:creationId xmlns:a16="http://schemas.microsoft.com/office/drawing/2014/main" id="{D97DD87D-064A-4646-97B5-2D8EB4186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86" name="Picture 3077" descr="spacer">
          <a:extLst>
            <a:ext uri="{FF2B5EF4-FFF2-40B4-BE49-F238E27FC236}">
              <a16:creationId xmlns:a16="http://schemas.microsoft.com/office/drawing/2014/main" id="{1A7B5AA4-06E2-4F4F-9CBD-53D0556C4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87" name="Picture 3078" descr="spacer">
          <a:extLst>
            <a:ext uri="{FF2B5EF4-FFF2-40B4-BE49-F238E27FC236}">
              <a16:creationId xmlns:a16="http://schemas.microsoft.com/office/drawing/2014/main" id="{C3DF5401-2413-4453-9175-3DB520758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88" name="Picture 3079" descr="spacer">
          <a:extLst>
            <a:ext uri="{FF2B5EF4-FFF2-40B4-BE49-F238E27FC236}">
              <a16:creationId xmlns:a16="http://schemas.microsoft.com/office/drawing/2014/main" id="{E4E33C04-FD9A-4995-BEE0-B70694DB2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889" name="Picture 3082" descr="spacer">
          <a:extLst>
            <a:ext uri="{FF2B5EF4-FFF2-40B4-BE49-F238E27FC236}">
              <a16:creationId xmlns:a16="http://schemas.microsoft.com/office/drawing/2014/main" id="{B884F3B6-3338-4388-8408-D1E5D01B3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90" name="Picture 3084" descr="spacer">
          <a:extLst>
            <a:ext uri="{FF2B5EF4-FFF2-40B4-BE49-F238E27FC236}">
              <a16:creationId xmlns:a16="http://schemas.microsoft.com/office/drawing/2014/main" id="{3D925AA6-1C33-4405-9197-B135147FE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91" name="Picture 3085" descr="spacer">
          <a:extLst>
            <a:ext uri="{FF2B5EF4-FFF2-40B4-BE49-F238E27FC236}">
              <a16:creationId xmlns:a16="http://schemas.microsoft.com/office/drawing/2014/main" id="{3889E4F1-4356-48AE-A5AD-0F8084E75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92" name="Picture 3086" descr="spacer">
          <a:extLst>
            <a:ext uri="{FF2B5EF4-FFF2-40B4-BE49-F238E27FC236}">
              <a16:creationId xmlns:a16="http://schemas.microsoft.com/office/drawing/2014/main" id="{997BADA9-9529-42C1-8D2D-AC530C714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93" name="Picture 3087" descr="spacer">
          <a:extLst>
            <a:ext uri="{FF2B5EF4-FFF2-40B4-BE49-F238E27FC236}">
              <a16:creationId xmlns:a16="http://schemas.microsoft.com/office/drawing/2014/main" id="{A4455B83-037F-4021-A4E0-24FDE98F9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94" name="Picture 3088" descr="spacer">
          <a:extLst>
            <a:ext uri="{FF2B5EF4-FFF2-40B4-BE49-F238E27FC236}">
              <a16:creationId xmlns:a16="http://schemas.microsoft.com/office/drawing/2014/main" id="{894F0D9F-767E-41D6-9455-A67692C46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95" name="Picture 3089" descr="spacer">
          <a:extLst>
            <a:ext uri="{FF2B5EF4-FFF2-40B4-BE49-F238E27FC236}">
              <a16:creationId xmlns:a16="http://schemas.microsoft.com/office/drawing/2014/main" id="{9AA3AAE8-E9E7-4468-B542-F1B46EBF6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96" name="Picture 3090" descr="spacer">
          <a:extLst>
            <a:ext uri="{FF2B5EF4-FFF2-40B4-BE49-F238E27FC236}">
              <a16:creationId xmlns:a16="http://schemas.microsoft.com/office/drawing/2014/main" id="{D78BF77D-5CA0-427A-B608-3B3C29D1C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97" name="Picture 3091" descr="spacer">
          <a:extLst>
            <a:ext uri="{FF2B5EF4-FFF2-40B4-BE49-F238E27FC236}">
              <a16:creationId xmlns:a16="http://schemas.microsoft.com/office/drawing/2014/main" id="{2BDEFC5D-E00F-4274-AFFD-17CE2F1C0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98" name="Picture 3092" descr="spacer">
          <a:extLst>
            <a:ext uri="{FF2B5EF4-FFF2-40B4-BE49-F238E27FC236}">
              <a16:creationId xmlns:a16="http://schemas.microsoft.com/office/drawing/2014/main" id="{F7FB844A-B8E5-4C24-A6C5-E46BC211E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899" name="Picture 3093" descr="spacer">
          <a:extLst>
            <a:ext uri="{FF2B5EF4-FFF2-40B4-BE49-F238E27FC236}">
              <a16:creationId xmlns:a16="http://schemas.microsoft.com/office/drawing/2014/main" id="{FC859B58-ACC9-4062-AE2F-CF9C330E0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00" name="Picture 3094" descr="spacer">
          <a:extLst>
            <a:ext uri="{FF2B5EF4-FFF2-40B4-BE49-F238E27FC236}">
              <a16:creationId xmlns:a16="http://schemas.microsoft.com/office/drawing/2014/main" id="{3CE8452E-D556-4C25-BA7C-004D306195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01" name="Picture 3095" descr="spacer">
          <a:extLst>
            <a:ext uri="{FF2B5EF4-FFF2-40B4-BE49-F238E27FC236}">
              <a16:creationId xmlns:a16="http://schemas.microsoft.com/office/drawing/2014/main" id="{1137C00C-45E4-4F50-AC06-46EA22B2AD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02" name="Picture 3096" descr="spacer">
          <a:extLst>
            <a:ext uri="{FF2B5EF4-FFF2-40B4-BE49-F238E27FC236}">
              <a16:creationId xmlns:a16="http://schemas.microsoft.com/office/drawing/2014/main" id="{591EAEEA-5B83-4158-B27B-0DAA8E27B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03" name="Picture 3097" descr="spacer">
          <a:extLst>
            <a:ext uri="{FF2B5EF4-FFF2-40B4-BE49-F238E27FC236}">
              <a16:creationId xmlns:a16="http://schemas.microsoft.com/office/drawing/2014/main" id="{CEBAEEE0-A9BF-4C03-A788-C9498DBBF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904" name="Picture 3100" descr="spacer">
          <a:extLst>
            <a:ext uri="{FF2B5EF4-FFF2-40B4-BE49-F238E27FC236}">
              <a16:creationId xmlns:a16="http://schemas.microsoft.com/office/drawing/2014/main" id="{AFC39204-3C95-42C3-ACC9-17C1780583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05" name="Picture 3102" descr="spacer">
          <a:extLst>
            <a:ext uri="{FF2B5EF4-FFF2-40B4-BE49-F238E27FC236}">
              <a16:creationId xmlns:a16="http://schemas.microsoft.com/office/drawing/2014/main" id="{5C9FA9BA-FCBB-403B-9339-40F4BFE64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06" name="Picture 3103" descr="spacer">
          <a:extLst>
            <a:ext uri="{FF2B5EF4-FFF2-40B4-BE49-F238E27FC236}">
              <a16:creationId xmlns:a16="http://schemas.microsoft.com/office/drawing/2014/main" id="{4E198B35-9222-4D2B-99EB-B5C8FE65C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07" name="Picture 3104" descr="spacer">
          <a:extLst>
            <a:ext uri="{FF2B5EF4-FFF2-40B4-BE49-F238E27FC236}">
              <a16:creationId xmlns:a16="http://schemas.microsoft.com/office/drawing/2014/main" id="{379F9DFC-B8F5-42F8-AC46-6307012BF5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08" name="Picture 3105" descr="spacer">
          <a:extLst>
            <a:ext uri="{FF2B5EF4-FFF2-40B4-BE49-F238E27FC236}">
              <a16:creationId xmlns:a16="http://schemas.microsoft.com/office/drawing/2014/main" id="{0CA42C0A-AD39-4506-9ABB-0911CD337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09" name="Picture 3106" descr="spacer">
          <a:extLst>
            <a:ext uri="{FF2B5EF4-FFF2-40B4-BE49-F238E27FC236}">
              <a16:creationId xmlns:a16="http://schemas.microsoft.com/office/drawing/2014/main" id="{DBC750F7-8EC3-4BFD-8DC4-DE4D4E331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10" name="Picture 3107" descr="spacer">
          <a:extLst>
            <a:ext uri="{FF2B5EF4-FFF2-40B4-BE49-F238E27FC236}">
              <a16:creationId xmlns:a16="http://schemas.microsoft.com/office/drawing/2014/main" id="{D03E21F6-CC49-4E38-BA9C-0F1421D63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11" name="Picture 3108" descr="spacer">
          <a:extLst>
            <a:ext uri="{FF2B5EF4-FFF2-40B4-BE49-F238E27FC236}">
              <a16:creationId xmlns:a16="http://schemas.microsoft.com/office/drawing/2014/main" id="{D110BFE7-5B1F-4A77-90CA-F8EAF55BB2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12" name="Picture 3109" descr="spacer">
          <a:extLst>
            <a:ext uri="{FF2B5EF4-FFF2-40B4-BE49-F238E27FC236}">
              <a16:creationId xmlns:a16="http://schemas.microsoft.com/office/drawing/2014/main" id="{88103DDA-3460-4683-8060-C02F1EAE6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13" name="Picture 3110" descr="spacer">
          <a:extLst>
            <a:ext uri="{FF2B5EF4-FFF2-40B4-BE49-F238E27FC236}">
              <a16:creationId xmlns:a16="http://schemas.microsoft.com/office/drawing/2014/main" id="{C3E1ADAD-6976-4F64-B9C9-241F57801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14" name="Picture 3111" descr="spacer">
          <a:extLst>
            <a:ext uri="{FF2B5EF4-FFF2-40B4-BE49-F238E27FC236}">
              <a16:creationId xmlns:a16="http://schemas.microsoft.com/office/drawing/2014/main" id="{0BA9AC70-FD37-45A3-BB5E-66AFC1F3B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15" name="Picture 3112" descr="spacer">
          <a:extLst>
            <a:ext uri="{FF2B5EF4-FFF2-40B4-BE49-F238E27FC236}">
              <a16:creationId xmlns:a16="http://schemas.microsoft.com/office/drawing/2014/main" id="{3CB1D4C8-5B82-402D-9996-D5DD0299E1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16" name="Picture 3113" descr="spacer">
          <a:extLst>
            <a:ext uri="{FF2B5EF4-FFF2-40B4-BE49-F238E27FC236}">
              <a16:creationId xmlns:a16="http://schemas.microsoft.com/office/drawing/2014/main" id="{998E483D-0979-4119-94C9-98B645325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17" name="Picture 3114" descr="spacer">
          <a:extLst>
            <a:ext uri="{FF2B5EF4-FFF2-40B4-BE49-F238E27FC236}">
              <a16:creationId xmlns:a16="http://schemas.microsoft.com/office/drawing/2014/main" id="{323FC5A1-59D6-47F5-9EBC-38B0F0E51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918" name="Picture 3117" descr="spacer">
          <a:extLst>
            <a:ext uri="{FF2B5EF4-FFF2-40B4-BE49-F238E27FC236}">
              <a16:creationId xmlns:a16="http://schemas.microsoft.com/office/drawing/2014/main" id="{222A66F6-86C0-4CAB-B321-BFE76BAF21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19" name="Picture 3119" descr="spacer">
          <a:extLst>
            <a:ext uri="{FF2B5EF4-FFF2-40B4-BE49-F238E27FC236}">
              <a16:creationId xmlns:a16="http://schemas.microsoft.com/office/drawing/2014/main" id="{EC63702C-2D6C-4575-BE49-70FC818CB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20" name="Picture 3120" descr="spacer">
          <a:extLst>
            <a:ext uri="{FF2B5EF4-FFF2-40B4-BE49-F238E27FC236}">
              <a16:creationId xmlns:a16="http://schemas.microsoft.com/office/drawing/2014/main" id="{E487BBA3-EE2A-4EAB-99B4-A1C299F25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21" name="Picture 3121" descr="spacer">
          <a:extLst>
            <a:ext uri="{FF2B5EF4-FFF2-40B4-BE49-F238E27FC236}">
              <a16:creationId xmlns:a16="http://schemas.microsoft.com/office/drawing/2014/main" id="{4E461F38-431A-44F7-BF12-D6B4B5F8E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22" name="Picture 3122" descr="spacer">
          <a:extLst>
            <a:ext uri="{FF2B5EF4-FFF2-40B4-BE49-F238E27FC236}">
              <a16:creationId xmlns:a16="http://schemas.microsoft.com/office/drawing/2014/main" id="{7BD1F407-7A49-4808-8333-6F9A9E78C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23" name="Picture 3123" descr="spacer">
          <a:extLst>
            <a:ext uri="{FF2B5EF4-FFF2-40B4-BE49-F238E27FC236}">
              <a16:creationId xmlns:a16="http://schemas.microsoft.com/office/drawing/2014/main" id="{73C71B0D-61AD-4BDF-A644-6ADE21406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24" name="Picture 3124" descr="spacer">
          <a:extLst>
            <a:ext uri="{FF2B5EF4-FFF2-40B4-BE49-F238E27FC236}">
              <a16:creationId xmlns:a16="http://schemas.microsoft.com/office/drawing/2014/main" id="{0B893664-FE11-49DD-B5C0-57B58CF84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25" name="Picture 3125" descr="spacer">
          <a:extLst>
            <a:ext uri="{FF2B5EF4-FFF2-40B4-BE49-F238E27FC236}">
              <a16:creationId xmlns:a16="http://schemas.microsoft.com/office/drawing/2014/main" id="{F551B006-7AF2-45D8-A2D3-28C3696410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26" name="Picture 3126" descr="spacer">
          <a:extLst>
            <a:ext uri="{FF2B5EF4-FFF2-40B4-BE49-F238E27FC236}">
              <a16:creationId xmlns:a16="http://schemas.microsoft.com/office/drawing/2014/main" id="{51B57C19-5BB2-40A2-822B-4621A31E8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27" name="Picture 3127" descr="spacer">
          <a:extLst>
            <a:ext uri="{FF2B5EF4-FFF2-40B4-BE49-F238E27FC236}">
              <a16:creationId xmlns:a16="http://schemas.microsoft.com/office/drawing/2014/main" id="{558EF016-0189-44B3-9A5A-C4ADB81A0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28" name="Picture 3128" descr="spacer">
          <a:extLst>
            <a:ext uri="{FF2B5EF4-FFF2-40B4-BE49-F238E27FC236}">
              <a16:creationId xmlns:a16="http://schemas.microsoft.com/office/drawing/2014/main" id="{EE8FCDFF-4867-4A63-A41C-C7637F183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29" name="Picture 3129" descr="spacer">
          <a:extLst>
            <a:ext uri="{FF2B5EF4-FFF2-40B4-BE49-F238E27FC236}">
              <a16:creationId xmlns:a16="http://schemas.microsoft.com/office/drawing/2014/main" id="{94904799-A046-44EE-8062-E03EC8B2D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30" name="Picture 3130" descr="spacer">
          <a:extLst>
            <a:ext uri="{FF2B5EF4-FFF2-40B4-BE49-F238E27FC236}">
              <a16:creationId xmlns:a16="http://schemas.microsoft.com/office/drawing/2014/main" id="{71565835-D4A9-4253-AD7F-B2CE38351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31" name="Picture 3131" descr="spacer">
          <a:extLst>
            <a:ext uri="{FF2B5EF4-FFF2-40B4-BE49-F238E27FC236}">
              <a16:creationId xmlns:a16="http://schemas.microsoft.com/office/drawing/2014/main" id="{8E54860B-E20F-4980-934D-028DAB118F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32" name="Picture 3132" descr="spacer">
          <a:extLst>
            <a:ext uri="{FF2B5EF4-FFF2-40B4-BE49-F238E27FC236}">
              <a16:creationId xmlns:a16="http://schemas.microsoft.com/office/drawing/2014/main" id="{D91B59FB-03B5-4A0F-96D8-A2CD357FA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933" name="Picture 3135" descr="spacer">
          <a:extLst>
            <a:ext uri="{FF2B5EF4-FFF2-40B4-BE49-F238E27FC236}">
              <a16:creationId xmlns:a16="http://schemas.microsoft.com/office/drawing/2014/main" id="{D17278C5-CF6F-4EB0-8FC5-424A96D8CF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34" name="Picture 3137" descr="spacer">
          <a:extLst>
            <a:ext uri="{FF2B5EF4-FFF2-40B4-BE49-F238E27FC236}">
              <a16:creationId xmlns:a16="http://schemas.microsoft.com/office/drawing/2014/main" id="{273C8F47-3049-4DD3-A3C0-1FA0F45E0A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35" name="Picture 3138" descr="spacer">
          <a:extLst>
            <a:ext uri="{FF2B5EF4-FFF2-40B4-BE49-F238E27FC236}">
              <a16:creationId xmlns:a16="http://schemas.microsoft.com/office/drawing/2014/main" id="{1114B532-24E4-44A8-92BE-8AB449853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36" name="Picture 3139" descr="spacer">
          <a:extLst>
            <a:ext uri="{FF2B5EF4-FFF2-40B4-BE49-F238E27FC236}">
              <a16:creationId xmlns:a16="http://schemas.microsoft.com/office/drawing/2014/main" id="{CF92876E-730D-4AB1-80B1-844104B38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37" name="Picture 3140" descr="spacer">
          <a:extLst>
            <a:ext uri="{FF2B5EF4-FFF2-40B4-BE49-F238E27FC236}">
              <a16:creationId xmlns:a16="http://schemas.microsoft.com/office/drawing/2014/main" id="{59A0FF50-F6D8-4D12-AAD6-808C74A79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38" name="Picture 3141" descr="spacer">
          <a:extLst>
            <a:ext uri="{FF2B5EF4-FFF2-40B4-BE49-F238E27FC236}">
              <a16:creationId xmlns:a16="http://schemas.microsoft.com/office/drawing/2014/main" id="{F71724A4-D03E-46B4-9166-CB3C62309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39" name="Picture 3142" descr="spacer">
          <a:extLst>
            <a:ext uri="{FF2B5EF4-FFF2-40B4-BE49-F238E27FC236}">
              <a16:creationId xmlns:a16="http://schemas.microsoft.com/office/drawing/2014/main" id="{07E80E00-FE19-457D-BC0A-227EBAC74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40" name="Picture 3143" descr="spacer">
          <a:extLst>
            <a:ext uri="{FF2B5EF4-FFF2-40B4-BE49-F238E27FC236}">
              <a16:creationId xmlns:a16="http://schemas.microsoft.com/office/drawing/2014/main" id="{B9BCDD46-EDB1-44B0-A3CB-523CD265F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41" name="Picture 3144" descr="spacer">
          <a:extLst>
            <a:ext uri="{FF2B5EF4-FFF2-40B4-BE49-F238E27FC236}">
              <a16:creationId xmlns:a16="http://schemas.microsoft.com/office/drawing/2014/main" id="{0843D8EA-8BAF-4710-9083-6DDFBD3898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42" name="Picture 3145" descr="spacer">
          <a:extLst>
            <a:ext uri="{FF2B5EF4-FFF2-40B4-BE49-F238E27FC236}">
              <a16:creationId xmlns:a16="http://schemas.microsoft.com/office/drawing/2014/main" id="{175B400C-1D1B-4744-AF9F-08DCA6C34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43" name="Picture 3146" descr="spacer">
          <a:extLst>
            <a:ext uri="{FF2B5EF4-FFF2-40B4-BE49-F238E27FC236}">
              <a16:creationId xmlns:a16="http://schemas.microsoft.com/office/drawing/2014/main" id="{408805FD-740D-4641-B06A-3601D88BB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44" name="Picture 3147" descr="spacer">
          <a:extLst>
            <a:ext uri="{FF2B5EF4-FFF2-40B4-BE49-F238E27FC236}">
              <a16:creationId xmlns:a16="http://schemas.microsoft.com/office/drawing/2014/main" id="{DFD186B6-4547-4C2A-9595-69EAE5ABE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45" name="Picture 3148" descr="spacer">
          <a:extLst>
            <a:ext uri="{FF2B5EF4-FFF2-40B4-BE49-F238E27FC236}">
              <a16:creationId xmlns:a16="http://schemas.microsoft.com/office/drawing/2014/main" id="{9D48330F-6011-403D-B608-E95F917A3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46" name="Picture 3149" descr="spacer">
          <a:extLst>
            <a:ext uri="{FF2B5EF4-FFF2-40B4-BE49-F238E27FC236}">
              <a16:creationId xmlns:a16="http://schemas.microsoft.com/office/drawing/2014/main" id="{011D936B-FDD0-40E9-AD22-4C7801B18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47" name="Picture 3150" descr="spacer">
          <a:extLst>
            <a:ext uri="{FF2B5EF4-FFF2-40B4-BE49-F238E27FC236}">
              <a16:creationId xmlns:a16="http://schemas.microsoft.com/office/drawing/2014/main" id="{C26B09D0-4FC4-46E4-84BE-BDDCB5D78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948" name="Picture 3153" descr="spacer">
          <a:extLst>
            <a:ext uri="{FF2B5EF4-FFF2-40B4-BE49-F238E27FC236}">
              <a16:creationId xmlns:a16="http://schemas.microsoft.com/office/drawing/2014/main" id="{D38D6DA8-4D27-4D8D-AF22-6BA93DE9B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49" name="Picture 3155" descr="spacer">
          <a:extLst>
            <a:ext uri="{FF2B5EF4-FFF2-40B4-BE49-F238E27FC236}">
              <a16:creationId xmlns:a16="http://schemas.microsoft.com/office/drawing/2014/main" id="{E190A8E8-A7EB-42C8-89F0-B31B2EB09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50" name="Picture 3156" descr="spacer">
          <a:extLst>
            <a:ext uri="{FF2B5EF4-FFF2-40B4-BE49-F238E27FC236}">
              <a16:creationId xmlns:a16="http://schemas.microsoft.com/office/drawing/2014/main" id="{0295DC95-2349-49A3-96D2-68AA3517A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51" name="Picture 3157" descr="spacer">
          <a:extLst>
            <a:ext uri="{FF2B5EF4-FFF2-40B4-BE49-F238E27FC236}">
              <a16:creationId xmlns:a16="http://schemas.microsoft.com/office/drawing/2014/main" id="{5A410ED9-DFE7-4FDC-8D64-AB6B72162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52" name="Picture 3158" descr="spacer">
          <a:extLst>
            <a:ext uri="{FF2B5EF4-FFF2-40B4-BE49-F238E27FC236}">
              <a16:creationId xmlns:a16="http://schemas.microsoft.com/office/drawing/2014/main" id="{EA4657D0-5D10-4AA3-A4E0-FC1EE0DB9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53" name="Picture 3159" descr="spacer">
          <a:extLst>
            <a:ext uri="{FF2B5EF4-FFF2-40B4-BE49-F238E27FC236}">
              <a16:creationId xmlns:a16="http://schemas.microsoft.com/office/drawing/2014/main" id="{753DDF82-F708-48E9-9853-78E825D41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54" name="Picture 3160" descr="spacer">
          <a:extLst>
            <a:ext uri="{FF2B5EF4-FFF2-40B4-BE49-F238E27FC236}">
              <a16:creationId xmlns:a16="http://schemas.microsoft.com/office/drawing/2014/main" id="{F3EC5CFF-5DA9-4B36-9980-DD19B8C95F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55" name="Picture 3161" descr="spacer">
          <a:extLst>
            <a:ext uri="{FF2B5EF4-FFF2-40B4-BE49-F238E27FC236}">
              <a16:creationId xmlns:a16="http://schemas.microsoft.com/office/drawing/2014/main" id="{C7708DBB-6BAA-4D12-B641-9D9EF903B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56" name="Picture 3162" descr="spacer">
          <a:extLst>
            <a:ext uri="{FF2B5EF4-FFF2-40B4-BE49-F238E27FC236}">
              <a16:creationId xmlns:a16="http://schemas.microsoft.com/office/drawing/2014/main" id="{BFEB0736-5F68-451B-9C88-D4ECAF3BA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57" name="Picture 3163" descr="spacer">
          <a:extLst>
            <a:ext uri="{FF2B5EF4-FFF2-40B4-BE49-F238E27FC236}">
              <a16:creationId xmlns:a16="http://schemas.microsoft.com/office/drawing/2014/main" id="{02B6EA69-4E66-4393-9D4A-C0229C3F84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58" name="Picture 3164" descr="spacer">
          <a:extLst>
            <a:ext uri="{FF2B5EF4-FFF2-40B4-BE49-F238E27FC236}">
              <a16:creationId xmlns:a16="http://schemas.microsoft.com/office/drawing/2014/main" id="{C86B300A-2F4D-411E-982D-8FBB3B151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59" name="Picture 3165" descr="spacer">
          <a:extLst>
            <a:ext uri="{FF2B5EF4-FFF2-40B4-BE49-F238E27FC236}">
              <a16:creationId xmlns:a16="http://schemas.microsoft.com/office/drawing/2014/main" id="{F0062AC8-D15E-422F-834E-8D57CF3A2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60" name="Picture 3166" descr="spacer">
          <a:extLst>
            <a:ext uri="{FF2B5EF4-FFF2-40B4-BE49-F238E27FC236}">
              <a16:creationId xmlns:a16="http://schemas.microsoft.com/office/drawing/2014/main" id="{201525C7-7C6D-47C2-A251-3049DB4DD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61" name="Picture 3167" descr="spacer">
          <a:extLst>
            <a:ext uri="{FF2B5EF4-FFF2-40B4-BE49-F238E27FC236}">
              <a16:creationId xmlns:a16="http://schemas.microsoft.com/office/drawing/2014/main" id="{221D97FC-6D23-4F3B-8990-8BDCC2FA5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962" name="Picture 3170" descr="spacer">
          <a:extLst>
            <a:ext uri="{FF2B5EF4-FFF2-40B4-BE49-F238E27FC236}">
              <a16:creationId xmlns:a16="http://schemas.microsoft.com/office/drawing/2014/main" id="{9E672204-2A77-4B10-BAF5-C2E864763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63" name="Picture 3172" descr="spacer">
          <a:extLst>
            <a:ext uri="{FF2B5EF4-FFF2-40B4-BE49-F238E27FC236}">
              <a16:creationId xmlns:a16="http://schemas.microsoft.com/office/drawing/2014/main" id="{143FE57A-96F0-4200-99F2-88E70E7C3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64" name="Picture 3173" descr="spacer">
          <a:extLst>
            <a:ext uri="{FF2B5EF4-FFF2-40B4-BE49-F238E27FC236}">
              <a16:creationId xmlns:a16="http://schemas.microsoft.com/office/drawing/2014/main" id="{C0593F19-2EB9-42F1-8E34-A6CF7F141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65" name="Picture 3174" descr="spacer">
          <a:extLst>
            <a:ext uri="{FF2B5EF4-FFF2-40B4-BE49-F238E27FC236}">
              <a16:creationId xmlns:a16="http://schemas.microsoft.com/office/drawing/2014/main" id="{9A4CCE8C-A0B0-4CC8-AAC7-9FC82490B4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66" name="Picture 3175" descr="spacer">
          <a:extLst>
            <a:ext uri="{FF2B5EF4-FFF2-40B4-BE49-F238E27FC236}">
              <a16:creationId xmlns:a16="http://schemas.microsoft.com/office/drawing/2014/main" id="{3B9A5EF1-04F3-45A3-A62C-3DCAEE0B4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67" name="Picture 3176" descr="spacer">
          <a:extLst>
            <a:ext uri="{FF2B5EF4-FFF2-40B4-BE49-F238E27FC236}">
              <a16:creationId xmlns:a16="http://schemas.microsoft.com/office/drawing/2014/main" id="{05EC7AF3-4331-42A2-BF2A-49FD2A568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68" name="Picture 3177" descr="spacer">
          <a:extLst>
            <a:ext uri="{FF2B5EF4-FFF2-40B4-BE49-F238E27FC236}">
              <a16:creationId xmlns:a16="http://schemas.microsoft.com/office/drawing/2014/main" id="{43FAB07D-D488-4977-ABF1-2061DC8FEE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69" name="Picture 3178" descr="spacer">
          <a:extLst>
            <a:ext uri="{FF2B5EF4-FFF2-40B4-BE49-F238E27FC236}">
              <a16:creationId xmlns:a16="http://schemas.microsoft.com/office/drawing/2014/main" id="{6B1256B5-221D-4926-8A1A-41A486693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70" name="Picture 3179" descr="spacer">
          <a:extLst>
            <a:ext uri="{FF2B5EF4-FFF2-40B4-BE49-F238E27FC236}">
              <a16:creationId xmlns:a16="http://schemas.microsoft.com/office/drawing/2014/main" id="{9BF51F0D-9BB9-47B1-826C-9E8BC006E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71" name="Picture 3180" descr="spacer">
          <a:extLst>
            <a:ext uri="{FF2B5EF4-FFF2-40B4-BE49-F238E27FC236}">
              <a16:creationId xmlns:a16="http://schemas.microsoft.com/office/drawing/2014/main" id="{4FB05F40-1D68-4797-AC0F-55A6DD968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72" name="Picture 3181" descr="spacer">
          <a:extLst>
            <a:ext uri="{FF2B5EF4-FFF2-40B4-BE49-F238E27FC236}">
              <a16:creationId xmlns:a16="http://schemas.microsoft.com/office/drawing/2014/main" id="{16F7A68B-29AF-4A7C-8C1B-521C06504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73" name="Picture 3182" descr="spacer">
          <a:extLst>
            <a:ext uri="{FF2B5EF4-FFF2-40B4-BE49-F238E27FC236}">
              <a16:creationId xmlns:a16="http://schemas.microsoft.com/office/drawing/2014/main" id="{274E7132-E369-4B60-8A3B-B0D60B64E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74" name="Picture 3183" descr="spacer">
          <a:extLst>
            <a:ext uri="{FF2B5EF4-FFF2-40B4-BE49-F238E27FC236}">
              <a16:creationId xmlns:a16="http://schemas.microsoft.com/office/drawing/2014/main" id="{4B47F5D2-FAD9-471A-A88B-CB8B325EF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75" name="Picture 3184" descr="spacer">
          <a:extLst>
            <a:ext uri="{FF2B5EF4-FFF2-40B4-BE49-F238E27FC236}">
              <a16:creationId xmlns:a16="http://schemas.microsoft.com/office/drawing/2014/main" id="{16F06D1F-4CFB-4786-8441-8AE58D213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976" name="Picture 3187" descr="spacer">
          <a:extLst>
            <a:ext uri="{FF2B5EF4-FFF2-40B4-BE49-F238E27FC236}">
              <a16:creationId xmlns:a16="http://schemas.microsoft.com/office/drawing/2014/main" id="{4508136F-DD99-488E-9B2D-54E497082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77" name="Picture 3189" descr="spacer">
          <a:extLst>
            <a:ext uri="{FF2B5EF4-FFF2-40B4-BE49-F238E27FC236}">
              <a16:creationId xmlns:a16="http://schemas.microsoft.com/office/drawing/2014/main" id="{63FBE566-3EF0-4165-A5F5-26B75C67C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78" name="Picture 3190" descr="spacer">
          <a:extLst>
            <a:ext uri="{FF2B5EF4-FFF2-40B4-BE49-F238E27FC236}">
              <a16:creationId xmlns:a16="http://schemas.microsoft.com/office/drawing/2014/main" id="{9075328A-2311-4A59-8395-A80AF3A846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79" name="Picture 3191" descr="spacer">
          <a:extLst>
            <a:ext uri="{FF2B5EF4-FFF2-40B4-BE49-F238E27FC236}">
              <a16:creationId xmlns:a16="http://schemas.microsoft.com/office/drawing/2014/main" id="{FABD3681-0A89-4DC2-84FF-16E1C639FF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80" name="Picture 3192" descr="spacer">
          <a:extLst>
            <a:ext uri="{FF2B5EF4-FFF2-40B4-BE49-F238E27FC236}">
              <a16:creationId xmlns:a16="http://schemas.microsoft.com/office/drawing/2014/main" id="{FAF1CC1F-CB8E-4FFA-B458-D93A8A55FB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81" name="Picture 3193" descr="spacer">
          <a:extLst>
            <a:ext uri="{FF2B5EF4-FFF2-40B4-BE49-F238E27FC236}">
              <a16:creationId xmlns:a16="http://schemas.microsoft.com/office/drawing/2014/main" id="{F1E1E23A-851C-4046-8C41-CD88894F0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82" name="Picture 3194" descr="spacer">
          <a:extLst>
            <a:ext uri="{FF2B5EF4-FFF2-40B4-BE49-F238E27FC236}">
              <a16:creationId xmlns:a16="http://schemas.microsoft.com/office/drawing/2014/main" id="{0BB82E47-E97A-4799-8E81-032C062FC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83" name="Picture 3195" descr="spacer">
          <a:extLst>
            <a:ext uri="{FF2B5EF4-FFF2-40B4-BE49-F238E27FC236}">
              <a16:creationId xmlns:a16="http://schemas.microsoft.com/office/drawing/2014/main" id="{E01C0A9E-7FE3-4609-9AF8-3A329CA93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84" name="Picture 3196" descr="spacer">
          <a:extLst>
            <a:ext uri="{FF2B5EF4-FFF2-40B4-BE49-F238E27FC236}">
              <a16:creationId xmlns:a16="http://schemas.microsoft.com/office/drawing/2014/main" id="{B8B17C9B-7424-4C0E-83AC-75E582494D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85" name="Picture 3197" descr="spacer">
          <a:extLst>
            <a:ext uri="{FF2B5EF4-FFF2-40B4-BE49-F238E27FC236}">
              <a16:creationId xmlns:a16="http://schemas.microsoft.com/office/drawing/2014/main" id="{7AEB7B2D-8605-4627-95D6-1ACF6F3F1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86" name="Picture 3198" descr="spacer">
          <a:extLst>
            <a:ext uri="{FF2B5EF4-FFF2-40B4-BE49-F238E27FC236}">
              <a16:creationId xmlns:a16="http://schemas.microsoft.com/office/drawing/2014/main" id="{B68E1BDD-84CF-4A1E-B0B3-8788A1C02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87" name="Picture 3199" descr="spacer">
          <a:extLst>
            <a:ext uri="{FF2B5EF4-FFF2-40B4-BE49-F238E27FC236}">
              <a16:creationId xmlns:a16="http://schemas.microsoft.com/office/drawing/2014/main" id="{2F2FF498-15F0-45A2-921E-0B2B4F3C9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88" name="Picture 3200" descr="spacer">
          <a:extLst>
            <a:ext uri="{FF2B5EF4-FFF2-40B4-BE49-F238E27FC236}">
              <a16:creationId xmlns:a16="http://schemas.microsoft.com/office/drawing/2014/main" id="{0C719607-E622-40C0-864B-D0C94C299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89" name="Picture 3201" descr="spacer">
          <a:extLst>
            <a:ext uri="{FF2B5EF4-FFF2-40B4-BE49-F238E27FC236}">
              <a16:creationId xmlns:a16="http://schemas.microsoft.com/office/drawing/2014/main" id="{CF910783-3462-47DF-BD39-25B397807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90" name="Picture 3202" descr="spacer">
          <a:extLst>
            <a:ext uri="{FF2B5EF4-FFF2-40B4-BE49-F238E27FC236}">
              <a16:creationId xmlns:a16="http://schemas.microsoft.com/office/drawing/2014/main" id="{4F034CEA-5AC6-417D-9C6A-954758319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2991" name="Picture 3205" descr="spacer">
          <a:extLst>
            <a:ext uri="{FF2B5EF4-FFF2-40B4-BE49-F238E27FC236}">
              <a16:creationId xmlns:a16="http://schemas.microsoft.com/office/drawing/2014/main" id="{E2F40D47-26BC-4C0A-A852-82CB6E53E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92" name="Picture 3207" descr="spacer">
          <a:extLst>
            <a:ext uri="{FF2B5EF4-FFF2-40B4-BE49-F238E27FC236}">
              <a16:creationId xmlns:a16="http://schemas.microsoft.com/office/drawing/2014/main" id="{F6AFBF53-CD4C-47F6-A2FA-87CA85306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93" name="Picture 3208" descr="spacer">
          <a:extLst>
            <a:ext uri="{FF2B5EF4-FFF2-40B4-BE49-F238E27FC236}">
              <a16:creationId xmlns:a16="http://schemas.microsoft.com/office/drawing/2014/main" id="{F3A4F5BB-57A1-4AF0-8DF2-93CA6936A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94" name="Picture 3209" descr="spacer">
          <a:extLst>
            <a:ext uri="{FF2B5EF4-FFF2-40B4-BE49-F238E27FC236}">
              <a16:creationId xmlns:a16="http://schemas.microsoft.com/office/drawing/2014/main" id="{EC87C9E2-A7C6-44B3-89F2-B59D0A548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95" name="Picture 3210" descr="spacer">
          <a:extLst>
            <a:ext uri="{FF2B5EF4-FFF2-40B4-BE49-F238E27FC236}">
              <a16:creationId xmlns:a16="http://schemas.microsoft.com/office/drawing/2014/main" id="{BCC985BA-EFBC-4156-A8B0-F9FE8B020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96" name="Picture 3211" descr="spacer">
          <a:extLst>
            <a:ext uri="{FF2B5EF4-FFF2-40B4-BE49-F238E27FC236}">
              <a16:creationId xmlns:a16="http://schemas.microsoft.com/office/drawing/2014/main" id="{119892F4-1D91-4E99-9EE4-F9F56820D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97" name="Picture 3212" descr="spacer">
          <a:extLst>
            <a:ext uri="{FF2B5EF4-FFF2-40B4-BE49-F238E27FC236}">
              <a16:creationId xmlns:a16="http://schemas.microsoft.com/office/drawing/2014/main" id="{3FE78637-C5FB-4958-A6DB-2C9908E51F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98" name="Picture 3213" descr="spacer">
          <a:extLst>
            <a:ext uri="{FF2B5EF4-FFF2-40B4-BE49-F238E27FC236}">
              <a16:creationId xmlns:a16="http://schemas.microsoft.com/office/drawing/2014/main" id="{8AB6D253-18F1-47C6-98AA-D1D9F6EB0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2999" name="Picture 3214" descr="spacer">
          <a:extLst>
            <a:ext uri="{FF2B5EF4-FFF2-40B4-BE49-F238E27FC236}">
              <a16:creationId xmlns:a16="http://schemas.microsoft.com/office/drawing/2014/main" id="{97365E04-60A2-42AD-A78C-7F90E0E31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00" name="Picture 3215" descr="spacer">
          <a:extLst>
            <a:ext uri="{FF2B5EF4-FFF2-40B4-BE49-F238E27FC236}">
              <a16:creationId xmlns:a16="http://schemas.microsoft.com/office/drawing/2014/main" id="{7481F879-FEE5-477D-8F1A-65B87BE8A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01" name="Picture 3216" descr="spacer">
          <a:extLst>
            <a:ext uri="{FF2B5EF4-FFF2-40B4-BE49-F238E27FC236}">
              <a16:creationId xmlns:a16="http://schemas.microsoft.com/office/drawing/2014/main" id="{A1F4DC7C-D819-4125-B9DB-6D7DA94277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02" name="Picture 3217" descr="spacer">
          <a:extLst>
            <a:ext uri="{FF2B5EF4-FFF2-40B4-BE49-F238E27FC236}">
              <a16:creationId xmlns:a16="http://schemas.microsoft.com/office/drawing/2014/main" id="{97F2082D-38C0-491C-B928-1750D1A25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03" name="Picture 3218" descr="spacer">
          <a:extLst>
            <a:ext uri="{FF2B5EF4-FFF2-40B4-BE49-F238E27FC236}">
              <a16:creationId xmlns:a16="http://schemas.microsoft.com/office/drawing/2014/main" id="{65D90114-BA0A-4308-BEAE-B232256D3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04" name="Picture 3219" descr="spacer">
          <a:extLst>
            <a:ext uri="{FF2B5EF4-FFF2-40B4-BE49-F238E27FC236}">
              <a16:creationId xmlns:a16="http://schemas.microsoft.com/office/drawing/2014/main" id="{68250952-8132-4670-9C78-4F709C0C5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05" name="Picture 3220" descr="spacer">
          <a:extLst>
            <a:ext uri="{FF2B5EF4-FFF2-40B4-BE49-F238E27FC236}">
              <a16:creationId xmlns:a16="http://schemas.microsoft.com/office/drawing/2014/main" id="{D30B6859-5C51-4827-AF25-457F35D75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3006" name="Picture 3223" descr="spacer">
          <a:extLst>
            <a:ext uri="{FF2B5EF4-FFF2-40B4-BE49-F238E27FC236}">
              <a16:creationId xmlns:a16="http://schemas.microsoft.com/office/drawing/2014/main" id="{93DCF525-7507-42EA-8591-D74A96118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07" name="Picture 3225" descr="spacer">
          <a:extLst>
            <a:ext uri="{FF2B5EF4-FFF2-40B4-BE49-F238E27FC236}">
              <a16:creationId xmlns:a16="http://schemas.microsoft.com/office/drawing/2014/main" id="{20252CE6-C9D2-4756-A7DF-CD191DEDF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08" name="Picture 3226" descr="spacer">
          <a:extLst>
            <a:ext uri="{FF2B5EF4-FFF2-40B4-BE49-F238E27FC236}">
              <a16:creationId xmlns:a16="http://schemas.microsoft.com/office/drawing/2014/main" id="{F684DCDC-7CC1-4EFF-AD46-784289C2F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09" name="Picture 3227" descr="spacer">
          <a:extLst>
            <a:ext uri="{FF2B5EF4-FFF2-40B4-BE49-F238E27FC236}">
              <a16:creationId xmlns:a16="http://schemas.microsoft.com/office/drawing/2014/main" id="{43C28933-A672-4B47-AD06-3B3094823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10" name="Picture 3228" descr="spacer">
          <a:extLst>
            <a:ext uri="{FF2B5EF4-FFF2-40B4-BE49-F238E27FC236}">
              <a16:creationId xmlns:a16="http://schemas.microsoft.com/office/drawing/2014/main" id="{FC9F869F-96DB-4CAB-866C-B16767362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11" name="Picture 3229" descr="spacer">
          <a:extLst>
            <a:ext uri="{FF2B5EF4-FFF2-40B4-BE49-F238E27FC236}">
              <a16:creationId xmlns:a16="http://schemas.microsoft.com/office/drawing/2014/main" id="{1CAF2625-6EA8-4879-B71B-13A15785E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12" name="Picture 3230" descr="spacer">
          <a:extLst>
            <a:ext uri="{FF2B5EF4-FFF2-40B4-BE49-F238E27FC236}">
              <a16:creationId xmlns:a16="http://schemas.microsoft.com/office/drawing/2014/main" id="{691D8F67-FAE9-4928-A6AB-85B0B05D3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13" name="Picture 3231" descr="spacer">
          <a:extLst>
            <a:ext uri="{FF2B5EF4-FFF2-40B4-BE49-F238E27FC236}">
              <a16:creationId xmlns:a16="http://schemas.microsoft.com/office/drawing/2014/main" id="{AF124CBB-8187-45E0-8A4A-B8C7B6267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14" name="Picture 3232" descr="spacer">
          <a:extLst>
            <a:ext uri="{FF2B5EF4-FFF2-40B4-BE49-F238E27FC236}">
              <a16:creationId xmlns:a16="http://schemas.microsoft.com/office/drawing/2014/main" id="{60B66829-7EF9-4693-9151-CA146FD01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15" name="Picture 3233" descr="spacer">
          <a:extLst>
            <a:ext uri="{FF2B5EF4-FFF2-40B4-BE49-F238E27FC236}">
              <a16:creationId xmlns:a16="http://schemas.microsoft.com/office/drawing/2014/main" id="{19842E6A-1108-4104-A934-8F24ED3A9B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16" name="Picture 3234" descr="spacer">
          <a:extLst>
            <a:ext uri="{FF2B5EF4-FFF2-40B4-BE49-F238E27FC236}">
              <a16:creationId xmlns:a16="http://schemas.microsoft.com/office/drawing/2014/main" id="{1D82B120-E033-4B37-B108-3600F20AF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17" name="Picture 3235" descr="spacer">
          <a:extLst>
            <a:ext uri="{FF2B5EF4-FFF2-40B4-BE49-F238E27FC236}">
              <a16:creationId xmlns:a16="http://schemas.microsoft.com/office/drawing/2014/main" id="{D89E0397-1409-4824-B728-8CD7C415D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18" name="Picture 3236" descr="spacer">
          <a:extLst>
            <a:ext uri="{FF2B5EF4-FFF2-40B4-BE49-F238E27FC236}">
              <a16:creationId xmlns:a16="http://schemas.microsoft.com/office/drawing/2014/main" id="{236CF41F-4FCA-4EC7-B50E-416F9BE06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3019" name="Picture 3239" descr="spacer">
          <a:extLst>
            <a:ext uri="{FF2B5EF4-FFF2-40B4-BE49-F238E27FC236}">
              <a16:creationId xmlns:a16="http://schemas.microsoft.com/office/drawing/2014/main" id="{3EEB3A02-6084-4728-9523-9F670D4CB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20" name="Picture 3241" descr="spacer">
          <a:extLst>
            <a:ext uri="{FF2B5EF4-FFF2-40B4-BE49-F238E27FC236}">
              <a16:creationId xmlns:a16="http://schemas.microsoft.com/office/drawing/2014/main" id="{5C77A5D4-64D3-438B-A90E-0419364C8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21" name="Picture 3242" descr="spacer">
          <a:extLst>
            <a:ext uri="{FF2B5EF4-FFF2-40B4-BE49-F238E27FC236}">
              <a16:creationId xmlns:a16="http://schemas.microsoft.com/office/drawing/2014/main" id="{A47FA0FB-0083-472F-BC35-48CA34239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22" name="Picture 3243" descr="spacer">
          <a:extLst>
            <a:ext uri="{FF2B5EF4-FFF2-40B4-BE49-F238E27FC236}">
              <a16:creationId xmlns:a16="http://schemas.microsoft.com/office/drawing/2014/main" id="{D0CC9962-DB18-48B9-9C7A-8CE8E9035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23" name="Picture 3244" descr="spacer">
          <a:extLst>
            <a:ext uri="{FF2B5EF4-FFF2-40B4-BE49-F238E27FC236}">
              <a16:creationId xmlns:a16="http://schemas.microsoft.com/office/drawing/2014/main" id="{A42F7325-B6F1-4298-8492-23F24CD13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24" name="Picture 3245" descr="spacer">
          <a:extLst>
            <a:ext uri="{FF2B5EF4-FFF2-40B4-BE49-F238E27FC236}">
              <a16:creationId xmlns:a16="http://schemas.microsoft.com/office/drawing/2014/main" id="{D39F0C2E-8F54-4AA1-9665-73BCB7E25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25" name="Picture 3246" descr="spacer">
          <a:extLst>
            <a:ext uri="{FF2B5EF4-FFF2-40B4-BE49-F238E27FC236}">
              <a16:creationId xmlns:a16="http://schemas.microsoft.com/office/drawing/2014/main" id="{E8682C27-68BC-4D5D-B027-6A026E7B5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26" name="Picture 3247" descr="spacer">
          <a:extLst>
            <a:ext uri="{FF2B5EF4-FFF2-40B4-BE49-F238E27FC236}">
              <a16:creationId xmlns:a16="http://schemas.microsoft.com/office/drawing/2014/main" id="{850F0F1C-B2CE-4961-9E34-00F3ECAE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27" name="Picture 3248" descr="spacer">
          <a:extLst>
            <a:ext uri="{FF2B5EF4-FFF2-40B4-BE49-F238E27FC236}">
              <a16:creationId xmlns:a16="http://schemas.microsoft.com/office/drawing/2014/main" id="{89680498-D042-49C1-87E3-E8971A7C5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28" name="Picture 3249" descr="spacer">
          <a:extLst>
            <a:ext uri="{FF2B5EF4-FFF2-40B4-BE49-F238E27FC236}">
              <a16:creationId xmlns:a16="http://schemas.microsoft.com/office/drawing/2014/main" id="{80C6A867-D833-4A55-84D0-9C673C5BE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29" name="Picture 3250" descr="spacer">
          <a:extLst>
            <a:ext uri="{FF2B5EF4-FFF2-40B4-BE49-F238E27FC236}">
              <a16:creationId xmlns:a16="http://schemas.microsoft.com/office/drawing/2014/main" id="{E4123836-E1F8-467A-88D4-2B2D05470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30" name="Picture 3251" descr="spacer">
          <a:extLst>
            <a:ext uri="{FF2B5EF4-FFF2-40B4-BE49-F238E27FC236}">
              <a16:creationId xmlns:a16="http://schemas.microsoft.com/office/drawing/2014/main" id="{0510F28B-5BB4-426A-A1B4-258152BA8A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31" name="Picture 3252" descr="spacer">
          <a:extLst>
            <a:ext uri="{FF2B5EF4-FFF2-40B4-BE49-F238E27FC236}">
              <a16:creationId xmlns:a16="http://schemas.microsoft.com/office/drawing/2014/main" id="{2EAFEA23-B284-4723-9E30-53A2F47C4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3032" name="Picture 3255" descr="spacer">
          <a:extLst>
            <a:ext uri="{FF2B5EF4-FFF2-40B4-BE49-F238E27FC236}">
              <a16:creationId xmlns:a16="http://schemas.microsoft.com/office/drawing/2014/main" id="{32A3752F-89FC-4B41-9504-1FA47C1F7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33" name="Picture 3257" descr="spacer">
          <a:extLst>
            <a:ext uri="{FF2B5EF4-FFF2-40B4-BE49-F238E27FC236}">
              <a16:creationId xmlns:a16="http://schemas.microsoft.com/office/drawing/2014/main" id="{037C7FA0-2A76-4339-9551-F9D0E2649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34" name="Picture 3258" descr="spacer">
          <a:extLst>
            <a:ext uri="{FF2B5EF4-FFF2-40B4-BE49-F238E27FC236}">
              <a16:creationId xmlns:a16="http://schemas.microsoft.com/office/drawing/2014/main" id="{5E5A8119-7C9E-4D27-BA6C-1C276A8442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35" name="Picture 3259" descr="spacer">
          <a:extLst>
            <a:ext uri="{FF2B5EF4-FFF2-40B4-BE49-F238E27FC236}">
              <a16:creationId xmlns:a16="http://schemas.microsoft.com/office/drawing/2014/main" id="{46528DBB-EF57-4FDF-9439-55A128A90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36" name="Picture 3260" descr="spacer">
          <a:extLst>
            <a:ext uri="{FF2B5EF4-FFF2-40B4-BE49-F238E27FC236}">
              <a16:creationId xmlns:a16="http://schemas.microsoft.com/office/drawing/2014/main" id="{74851267-FD56-446F-ADB5-F3DB83C51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37" name="Picture 3261" descr="spacer">
          <a:extLst>
            <a:ext uri="{FF2B5EF4-FFF2-40B4-BE49-F238E27FC236}">
              <a16:creationId xmlns:a16="http://schemas.microsoft.com/office/drawing/2014/main" id="{D4EA646C-847F-4CB0-AD02-7C3BBD960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38" name="Picture 3262" descr="spacer">
          <a:extLst>
            <a:ext uri="{FF2B5EF4-FFF2-40B4-BE49-F238E27FC236}">
              <a16:creationId xmlns:a16="http://schemas.microsoft.com/office/drawing/2014/main" id="{C8BA7AAD-471D-4175-AEC8-98BC4F548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39" name="Picture 3263" descr="spacer">
          <a:extLst>
            <a:ext uri="{FF2B5EF4-FFF2-40B4-BE49-F238E27FC236}">
              <a16:creationId xmlns:a16="http://schemas.microsoft.com/office/drawing/2014/main" id="{04C89767-189A-4264-9EC4-16E280672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40" name="Picture 3264" descr="spacer">
          <a:extLst>
            <a:ext uri="{FF2B5EF4-FFF2-40B4-BE49-F238E27FC236}">
              <a16:creationId xmlns:a16="http://schemas.microsoft.com/office/drawing/2014/main" id="{87AC2D15-6DAD-4184-B4E7-32FCFD104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41" name="Picture 3265" descr="spacer">
          <a:extLst>
            <a:ext uri="{FF2B5EF4-FFF2-40B4-BE49-F238E27FC236}">
              <a16:creationId xmlns:a16="http://schemas.microsoft.com/office/drawing/2014/main" id="{6696E7D9-2E4A-4202-AF27-D58038CDE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42" name="Picture 3266" descr="spacer">
          <a:extLst>
            <a:ext uri="{FF2B5EF4-FFF2-40B4-BE49-F238E27FC236}">
              <a16:creationId xmlns:a16="http://schemas.microsoft.com/office/drawing/2014/main" id="{85E9D6F2-DD43-491F-9D94-391FD8C6D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43" name="Picture 3267" descr="spacer">
          <a:extLst>
            <a:ext uri="{FF2B5EF4-FFF2-40B4-BE49-F238E27FC236}">
              <a16:creationId xmlns:a16="http://schemas.microsoft.com/office/drawing/2014/main" id="{A9D39A0A-B19A-4304-AB99-E4753BBDD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44" name="Picture 3268" descr="spacer">
          <a:extLst>
            <a:ext uri="{FF2B5EF4-FFF2-40B4-BE49-F238E27FC236}">
              <a16:creationId xmlns:a16="http://schemas.microsoft.com/office/drawing/2014/main" id="{8BA56413-9F97-4C48-9AFE-47B35230CB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45" name="Picture 3269" descr="spacer">
          <a:extLst>
            <a:ext uri="{FF2B5EF4-FFF2-40B4-BE49-F238E27FC236}">
              <a16:creationId xmlns:a16="http://schemas.microsoft.com/office/drawing/2014/main" id="{247BD3C6-F597-4A46-A09A-9648AB7150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3046" name="Picture 3271" descr="spacer">
          <a:extLst>
            <a:ext uri="{FF2B5EF4-FFF2-40B4-BE49-F238E27FC236}">
              <a16:creationId xmlns:a16="http://schemas.microsoft.com/office/drawing/2014/main" id="{CE66100A-98F7-42BF-AE28-9FED1A59E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6</xdr:col>
      <xdr:colOff>348615</xdr:colOff>
      <xdr:row>3</xdr:row>
      <xdr:rowOff>19050</xdr:rowOff>
    </xdr:to>
    <xdr:pic>
      <xdr:nvPicPr>
        <xdr:cNvPr id="3047" name="Picture 3272" descr="spacer">
          <a:extLst>
            <a:ext uri="{FF2B5EF4-FFF2-40B4-BE49-F238E27FC236}">
              <a16:creationId xmlns:a16="http://schemas.microsoft.com/office/drawing/2014/main" id="{B0C96E72-1D87-4E51-8F66-6B15C9FFF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011555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3048" name="Picture 3276" descr="spacer">
          <a:extLst>
            <a:ext uri="{FF2B5EF4-FFF2-40B4-BE49-F238E27FC236}">
              <a16:creationId xmlns:a16="http://schemas.microsoft.com/office/drawing/2014/main" id="{E2CD3552-438F-47CB-9431-83DF235E8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49" name="Picture 3278" descr="spacer">
          <a:extLst>
            <a:ext uri="{FF2B5EF4-FFF2-40B4-BE49-F238E27FC236}">
              <a16:creationId xmlns:a16="http://schemas.microsoft.com/office/drawing/2014/main" id="{07D3B7BC-C3F5-40B1-BBD9-232DCB6EEA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50" name="Picture 3279" descr="spacer">
          <a:extLst>
            <a:ext uri="{FF2B5EF4-FFF2-40B4-BE49-F238E27FC236}">
              <a16:creationId xmlns:a16="http://schemas.microsoft.com/office/drawing/2014/main" id="{A627C5F1-2A5E-4199-9F72-15A0D05D9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51" name="Picture 3280" descr="spacer">
          <a:extLst>
            <a:ext uri="{FF2B5EF4-FFF2-40B4-BE49-F238E27FC236}">
              <a16:creationId xmlns:a16="http://schemas.microsoft.com/office/drawing/2014/main" id="{2907B1D4-5DD2-4E3D-98AF-95C123AFA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52" name="Picture 3281" descr="spacer">
          <a:extLst>
            <a:ext uri="{FF2B5EF4-FFF2-40B4-BE49-F238E27FC236}">
              <a16:creationId xmlns:a16="http://schemas.microsoft.com/office/drawing/2014/main" id="{579E0F7C-46EA-4AB4-B033-4C241AB7F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53" name="Picture 3282" descr="spacer">
          <a:extLst>
            <a:ext uri="{FF2B5EF4-FFF2-40B4-BE49-F238E27FC236}">
              <a16:creationId xmlns:a16="http://schemas.microsoft.com/office/drawing/2014/main" id="{43F386C5-5A76-4970-8647-4C5E4AF0D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54" name="Picture 3283" descr="spacer">
          <a:extLst>
            <a:ext uri="{FF2B5EF4-FFF2-40B4-BE49-F238E27FC236}">
              <a16:creationId xmlns:a16="http://schemas.microsoft.com/office/drawing/2014/main" id="{C6EEDBBC-D5C2-453E-9432-4DE9B856C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55" name="Picture 3284" descr="spacer">
          <a:extLst>
            <a:ext uri="{FF2B5EF4-FFF2-40B4-BE49-F238E27FC236}">
              <a16:creationId xmlns:a16="http://schemas.microsoft.com/office/drawing/2014/main" id="{D7F9F63B-5ED6-4E39-8186-B6F5FC76F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56" name="Picture 3285" descr="spacer">
          <a:extLst>
            <a:ext uri="{FF2B5EF4-FFF2-40B4-BE49-F238E27FC236}">
              <a16:creationId xmlns:a16="http://schemas.microsoft.com/office/drawing/2014/main" id="{5AE75DF8-A5FD-477F-823E-1EBDD11C8F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57" name="Picture 3286" descr="spacer">
          <a:extLst>
            <a:ext uri="{FF2B5EF4-FFF2-40B4-BE49-F238E27FC236}">
              <a16:creationId xmlns:a16="http://schemas.microsoft.com/office/drawing/2014/main" id="{F4F6239D-7353-4499-8F05-385BFD594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58" name="Picture 3287" descr="spacer">
          <a:extLst>
            <a:ext uri="{FF2B5EF4-FFF2-40B4-BE49-F238E27FC236}">
              <a16:creationId xmlns:a16="http://schemas.microsoft.com/office/drawing/2014/main" id="{DA5FFE4E-ECEF-4731-9849-BFBEA2CB4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59" name="Picture 3288" descr="spacer">
          <a:extLst>
            <a:ext uri="{FF2B5EF4-FFF2-40B4-BE49-F238E27FC236}">
              <a16:creationId xmlns:a16="http://schemas.microsoft.com/office/drawing/2014/main" id="{ADAE5F70-E606-4AAE-98A7-B90BA2EAD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60" name="Picture 3289" descr="spacer">
          <a:extLst>
            <a:ext uri="{FF2B5EF4-FFF2-40B4-BE49-F238E27FC236}">
              <a16:creationId xmlns:a16="http://schemas.microsoft.com/office/drawing/2014/main" id="{57BC8296-B7F2-4717-973B-33595ABF8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61" name="Picture 3290" descr="spacer">
          <a:extLst>
            <a:ext uri="{FF2B5EF4-FFF2-40B4-BE49-F238E27FC236}">
              <a16:creationId xmlns:a16="http://schemas.microsoft.com/office/drawing/2014/main" id="{C89525D3-8F30-4ABE-9526-BC1D4C6DB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3062" name="Picture 3293" descr="spacer">
          <a:extLst>
            <a:ext uri="{FF2B5EF4-FFF2-40B4-BE49-F238E27FC236}">
              <a16:creationId xmlns:a16="http://schemas.microsoft.com/office/drawing/2014/main" id="{0DF83332-EB17-412F-8361-1CE4F026A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63" name="Picture 3295" descr="spacer">
          <a:extLst>
            <a:ext uri="{FF2B5EF4-FFF2-40B4-BE49-F238E27FC236}">
              <a16:creationId xmlns:a16="http://schemas.microsoft.com/office/drawing/2014/main" id="{D64ECD9C-1CF5-4A29-9C0B-2742D8900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64" name="Picture 3296" descr="spacer">
          <a:extLst>
            <a:ext uri="{FF2B5EF4-FFF2-40B4-BE49-F238E27FC236}">
              <a16:creationId xmlns:a16="http://schemas.microsoft.com/office/drawing/2014/main" id="{180479F8-92A4-4F5B-8D15-26C0A2DC8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65" name="Picture 3297" descr="spacer">
          <a:extLst>
            <a:ext uri="{FF2B5EF4-FFF2-40B4-BE49-F238E27FC236}">
              <a16:creationId xmlns:a16="http://schemas.microsoft.com/office/drawing/2014/main" id="{B1175E93-1F4B-417C-9719-9EF9E4A64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66" name="Picture 3298" descr="spacer">
          <a:extLst>
            <a:ext uri="{FF2B5EF4-FFF2-40B4-BE49-F238E27FC236}">
              <a16:creationId xmlns:a16="http://schemas.microsoft.com/office/drawing/2014/main" id="{D1287D37-1949-4C19-B215-1FA6A3129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67" name="Picture 3299" descr="spacer">
          <a:extLst>
            <a:ext uri="{FF2B5EF4-FFF2-40B4-BE49-F238E27FC236}">
              <a16:creationId xmlns:a16="http://schemas.microsoft.com/office/drawing/2014/main" id="{0DF130D5-D969-4E7D-82C5-FA562B14D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68" name="Picture 3300" descr="spacer">
          <a:extLst>
            <a:ext uri="{FF2B5EF4-FFF2-40B4-BE49-F238E27FC236}">
              <a16:creationId xmlns:a16="http://schemas.microsoft.com/office/drawing/2014/main" id="{9975A198-5D5D-480D-B6B5-D9A88DA1AF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69" name="Picture 3301" descr="spacer">
          <a:extLst>
            <a:ext uri="{FF2B5EF4-FFF2-40B4-BE49-F238E27FC236}">
              <a16:creationId xmlns:a16="http://schemas.microsoft.com/office/drawing/2014/main" id="{79D48ED7-4856-488F-A917-3E84C0C6B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70" name="Picture 3302" descr="spacer">
          <a:extLst>
            <a:ext uri="{FF2B5EF4-FFF2-40B4-BE49-F238E27FC236}">
              <a16:creationId xmlns:a16="http://schemas.microsoft.com/office/drawing/2014/main" id="{BE244510-280C-4D64-B2C7-D9BD920EFA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71" name="Picture 3303" descr="spacer">
          <a:extLst>
            <a:ext uri="{FF2B5EF4-FFF2-40B4-BE49-F238E27FC236}">
              <a16:creationId xmlns:a16="http://schemas.microsoft.com/office/drawing/2014/main" id="{F5359980-57D1-45AE-9C39-B5DFB986A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72" name="Picture 3304" descr="spacer">
          <a:extLst>
            <a:ext uri="{FF2B5EF4-FFF2-40B4-BE49-F238E27FC236}">
              <a16:creationId xmlns:a16="http://schemas.microsoft.com/office/drawing/2014/main" id="{DDA70EE0-E784-40C2-9948-2F902A983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73" name="Picture 3305" descr="spacer">
          <a:extLst>
            <a:ext uri="{FF2B5EF4-FFF2-40B4-BE49-F238E27FC236}">
              <a16:creationId xmlns:a16="http://schemas.microsoft.com/office/drawing/2014/main" id="{0BB09781-9688-4D26-B021-5AEA967CF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74" name="Picture 3306" descr="spacer">
          <a:extLst>
            <a:ext uri="{FF2B5EF4-FFF2-40B4-BE49-F238E27FC236}">
              <a16:creationId xmlns:a16="http://schemas.microsoft.com/office/drawing/2014/main" id="{ACA20270-EEDA-4321-B426-2B3AD56DC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75" name="Picture 3307" descr="spacer">
          <a:extLst>
            <a:ext uri="{FF2B5EF4-FFF2-40B4-BE49-F238E27FC236}">
              <a16:creationId xmlns:a16="http://schemas.microsoft.com/office/drawing/2014/main" id="{4118C81E-FB1E-45E9-A486-874FC0A14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76" name="Picture 3308" descr="spacer">
          <a:extLst>
            <a:ext uri="{FF2B5EF4-FFF2-40B4-BE49-F238E27FC236}">
              <a16:creationId xmlns:a16="http://schemas.microsoft.com/office/drawing/2014/main" id="{F4776BD1-9511-4ED2-9956-030B6A35E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3077" name="Picture 3311" descr="spacer">
          <a:extLst>
            <a:ext uri="{FF2B5EF4-FFF2-40B4-BE49-F238E27FC236}">
              <a16:creationId xmlns:a16="http://schemas.microsoft.com/office/drawing/2014/main" id="{75311F33-0433-4B90-982F-8FD43A1305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78" name="Picture 3313" descr="spacer">
          <a:extLst>
            <a:ext uri="{FF2B5EF4-FFF2-40B4-BE49-F238E27FC236}">
              <a16:creationId xmlns:a16="http://schemas.microsoft.com/office/drawing/2014/main" id="{78F5BF42-F268-4290-9184-D53A7F08A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79" name="Picture 3314" descr="spacer">
          <a:extLst>
            <a:ext uri="{FF2B5EF4-FFF2-40B4-BE49-F238E27FC236}">
              <a16:creationId xmlns:a16="http://schemas.microsoft.com/office/drawing/2014/main" id="{E35AEC71-049D-421F-B359-6F98C12B7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80" name="Picture 3315" descr="spacer">
          <a:extLst>
            <a:ext uri="{FF2B5EF4-FFF2-40B4-BE49-F238E27FC236}">
              <a16:creationId xmlns:a16="http://schemas.microsoft.com/office/drawing/2014/main" id="{C280E1D2-D713-46D3-8DFC-4F2C1B472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81" name="Picture 3316" descr="spacer">
          <a:extLst>
            <a:ext uri="{FF2B5EF4-FFF2-40B4-BE49-F238E27FC236}">
              <a16:creationId xmlns:a16="http://schemas.microsoft.com/office/drawing/2014/main" id="{74B29A32-5684-42B3-846D-1136EA146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82" name="Picture 3317" descr="spacer">
          <a:extLst>
            <a:ext uri="{FF2B5EF4-FFF2-40B4-BE49-F238E27FC236}">
              <a16:creationId xmlns:a16="http://schemas.microsoft.com/office/drawing/2014/main" id="{013A7EF9-4E15-44F8-B27E-4E1A02651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83" name="Picture 3318" descr="spacer">
          <a:extLst>
            <a:ext uri="{FF2B5EF4-FFF2-40B4-BE49-F238E27FC236}">
              <a16:creationId xmlns:a16="http://schemas.microsoft.com/office/drawing/2014/main" id="{6A6ED31E-0490-4E12-B979-DBF62E228E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84" name="Picture 3319" descr="spacer">
          <a:extLst>
            <a:ext uri="{FF2B5EF4-FFF2-40B4-BE49-F238E27FC236}">
              <a16:creationId xmlns:a16="http://schemas.microsoft.com/office/drawing/2014/main" id="{0178C7D7-7B3F-43CB-BB9C-F9EBAEEF8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85" name="Picture 3320" descr="spacer">
          <a:extLst>
            <a:ext uri="{FF2B5EF4-FFF2-40B4-BE49-F238E27FC236}">
              <a16:creationId xmlns:a16="http://schemas.microsoft.com/office/drawing/2014/main" id="{68841F28-7872-4336-85E3-B8EBF9854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86" name="Picture 3321" descr="spacer">
          <a:extLst>
            <a:ext uri="{FF2B5EF4-FFF2-40B4-BE49-F238E27FC236}">
              <a16:creationId xmlns:a16="http://schemas.microsoft.com/office/drawing/2014/main" id="{FA610F86-1C50-41AC-A42E-934C218C5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87" name="Picture 3322" descr="spacer">
          <a:extLst>
            <a:ext uri="{FF2B5EF4-FFF2-40B4-BE49-F238E27FC236}">
              <a16:creationId xmlns:a16="http://schemas.microsoft.com/office/drawing/2014/main" id="{A64A479C-927C-4C15-9E3D-D1BC2F251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88" name="Picture 3323" descr="spacer">
          <a:extLst>
            <a:ext uri="{FF2B5EF4-FFF2-40B4-BE49-F238E27FC236}">
              <a16:creationId xmlns:a16="http://schemas.microsoft.com/office/drawing/2014/main" id="{91A10DCF-E441-4905-8809-CDB724BB2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89" name="Picture 3324" descr="spacer">
          <a:extLst>
            <a:ext uri="{FF2B5EF4-FFF2-40B4-BE49-F238E27FC236}">
              <a16:creationId xmlns:a16="http://schemas.microsoft.com/office/drawing/2014/main" id="{3B2297A7-4563-4941-B654-325B3ED53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90" name="Picture 3325" descr="spacer">
          <a:extLst>
            <a:ext uri="{FF2B5EF4-FFF2-40B4-BE49-F238E27FC236}">
              <a16:creationId xmlns:a16="http://schemas.microsoft.com/office/drawing/2014/main" id="{F4E2266D-EEAC-4428-B848-478528792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91" name="Picture 3326" descr="spacer">
          <a:extLst>
            <a:ext uri="{FF2B5EF4-FFF2-40B4-BE49-F238E27FC236}">
              <a16:creationId xmlns:a16="http://schemas.microsoft.com/office/drawing/2014/main" id="{5B56803C-44CB-4ED7-8214-4DE7DD166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3092" name="Picture 3329" descr="spacer">
          <a:extLst>
            <a:ext uri="{FF2B5EF4-FFF2-40B4-BE49-F238E27FC236}">
              <a16:creationId xmlns:a16="http://schemas.microsoft.com/office/drawing/2014/main" id="{E0D78990-911C-4E26-986E-62CBC1EFF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93" name="Picture 3331" descr="spacer">
          <a:extLst>
            <a:ext uri="{FF2B5EF4-FFF2-40B4-BE49-F238E27FC236}">
              <a16:creationId xmlns:a16="http://schemas.microsoft.com/office/drawing/2014/main" id="{977E29E8-6B79-4851-BA42-075C5EB572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94" name="Picture 3332" descr="spacer">
          <a:extLst>
            <a:ext uri="{FF2B5EF4-FFF2-40B4-BE49-F238E27FC236}">
              <a16:creationId xmlns:a16="http://schemas.microsoft.com/office/drawing/2014/main" id="{844B8F06-5B76-492B-8601-B414AEDC0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95" name="Picture 3333" descr="spacer">
          <a:extLst>
            <a:ext uri="{FF2B5EF4-FFF2-40B4-BE49-F238E27FC236}">
              <a16:creationId xmlns:a16="http://schemas.microsoft.com/office/drawing/2014/main" id="{C1FA0A4D-0CA9-494F-B029-BD20A57C3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96" name="Picture 3334" descr="spacer">
          <a:extLst>
            <a:ext uri="{FF2B5EF4-FFF2-40B4-BE49-F238E27FC236}">
              <a16:creationId xmlns:a16="http://schemas.microsoft.com/office/drawing/2014/main" id="{7FD4C1D6-839D-4058-95AE-C728060CD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97" name="Picture 3335" descr="spacer">
          <a:extLst>
            <a:ext uri="{FF2B5EF4-FFF2-40B4-BE49-F238E27FC236}">
              <a16:creationId xmlns:a16="http://schemas.microsoft.com/office/drawing/2014/main" id="{108B70A2-D6CC-49E5-80AE-98C5D7D1C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98" name="Picture 3336" descr="spacer">
          <a:extLst>
            <a:ext uri="{FF2B5EF4-FFF2-40B4-BE49-F238E27FC236}">
              <a16:creationId xmlns:a16="http://schemas.microsoft.com/office/drawing/2014/main" id="{E99CBC9E-6918-4D21-8CD8-5084D0823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099" name="Picture 3337" descr="spacer">
          <a:extLst>
            <a:ext uri="{FF2B5EF4-FFF2-40B4-BE49-F238E27FC236}">
              <a16:creationId xmlns:a16="http://schemas.microsoft.com/office/drawing/2014/main" id="{F01DE77A-182E-41C0-9B88-778FC18C8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00" name="Picture 3338" descr="spacer">
          <a:extLst>
            <a:ext uri="{FF2B5EF4-FFF2-40B4-BE49-F238E27FC236}">
              <a16:creationId xmlns:a16="http://schemas.microsoft.com/office/drawing/2014/main" id="{DA2B578D-3E6E-4ECF-B1AB-D4B5DAE7F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01" name="Picture 3339" descr="spacer">
          <a:extLst>
            <a:ext uri="{FF2B5EF4-FFF2-40B4-BE49-F238E27FC236}">
              <a16:creationId xmlns:a16="http://schemas.microsoft.com/office/drawing/2014/main" id="{B954CB4F-5E36-425C-AE0B-36ADDAA46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02" name="Picture 3340" descr="spacer">
          <a:extLst>
            <a:ext uri="{FF2B5EF4-FFF2-40B4-BE49-F238E27FC236}">
              <a16:creationId xmlns:a16="http://schemas.microsoft.com/office/drawing/2014/main" id="{2F553A38-C27F-4A65-BE6E-68930EB79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03" name="Picture 3341" descr="spacer">
          <a:extLst>
            <a:ext uri="{FF2B5EF4-FFF2-40B4-BE49-F238E27FC236}">
              <a16:creationId xmlns:a16="http://schemas.microsoft.com/office/drawing/2014/main" id="{F53119BD-782B-4232-BB64-9F0DE1BCD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04" name="Picture 3342" descr="spacer">
          <a:extLst>
            <a:ext uri="{FF2B5EF4-FFF2-40B4-BE49-F238E27FC236}">
              <a16:creationId xmlns:a16="http://schemas.microsoft.com/office/drawing/2014/main" id="{15084D16-42D3-4B97-B9A2-201CAEB51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05" name="Picture 3343" descr="spacer">
          <a:extLst>
            <a:ext uri="{FF2B5EF4-FFF2-40B4-BE49-F238E27FC236}">
              <a16:creationId xmlns:a16="http://schemas.microsoft.com/office/drawing/2014/main" id="{474E6704-A2AB-49C9-BF6C-B1AA0D3D8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06" name="Picture 3344" descr="spacer">
          <a:extLst>
            <a:ext uri="{FF2B5EF4-FFF2-40B4-BE49-F238E27FC236}">
              <a16:creationId xmlns:a16="http://schemas.microsoft.com/office/drawing/2014/main" id="{5F108B2F-D960-406C-8F4C-0CC2A2CF5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3107" name="Picture 3347" descr="spacer">
          <a:extLst>
            <a:ext uri="{FF2B5EF4-FFF2-40B4-BE49-F238E27FC236}">
              <a16:creationId xmlns:a16="http://schemas.microsoft.com/office/drawing/2014/main" id="{5BF863A9-912D-4A34-B8BE-FBFD176E37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08" name="Picture 3349" descr="spacer">
          <a:extLst>
            <a:ext uri="{FF2B5EF4-FFF2-40B4-BE49-F238E27FC236}">
              <a16:creationId xmlns:a16="http://schemas.microsoft.com/office/drawing/2014/main" id="{9E99ECEA-CC6C-4D36-896F-222B39090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09" name="Picture 3350" descr="spacer">
          <a:extLst>
            <a:ext uri="{FF2B5EF4-FFF2-40B4-BE49-F238E27FC236}">
              <a16:creationId xmlns:a16="http://schemas.microsoft.com/office/drawing/2014/main" id="{28EA22BD-8C21-4011-A7D4-10C322631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10" name="Picture 3351" descr="spacer">
          <a:extLst>
            <a:ext uri="{FF2B5EF4-FFF2-40B4-BE49-F238E27FC236}">
              <a16:creationId xmlns:a16="http://schemas.microsoft.com/office/drawing/2014/main" id="{469291AE-D118-47B2-8F79-6E453A57A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11" name="Picture 3352" descr="spacer">
          <a:extLst>
            <a:ext uri="{FF2B5EF4-FFF2-40B4-BE49-F238E27FC236}">
              <a16:creationId xmlns:a16="http://schemas.microsoft.com/office/drawing/2014/main" id="{83610CED-846C-4FE7-9200-4F4058C4E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12" name="Picture 3353" descr="spacer">
          <a:extLst>
            <a:ext uri="{FF2B5EF4-FFF2-40B4-BE49-F238E27FC236}">
              <a16:creationId xmlns:a16="http://schemas.microsoft.com/office/drawing/2014/main" id="{F1074996-7614-40EF-9F66-2B6060C8C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13" name="Picture 3354" descr="spacer">
          <a:extLst>
            <a:ext uri="{FF2B5EF4-FFF2-40B4-BE49-F238E27FC236}">
              <a16:creationId xmlns:a16="http://schemas.microsoft.com/office/drawing/2014/main" id="{CC2263BC-34FB-4F0B-AD3B-077A426DF8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14" name="Picture 3355" descr="spacer">
          <a:extLst>
            <a:ext uri="{FF2B5EF4-FFF2-40B4-BE49-F238E27FC236}">
              <a16:creationId xmlns:a16="http://schemas.microsoft.com/office/drawing/2014/main" id="{69C47E6B-0818-48AB-9C9B-A72BAFF99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15" name="Picture 3356" descr="spacer">
          <a:extLst>
            <a:ext uri="{FF2B5EF4-FFF2-40B4-BE49-F238E27FC236}">
              <a16:creationId xmlns:a16="http://schemas.microsoft.com/office/drawing/2014/main" id="{32816BBF-BEB1-4365-A538-F92751A88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16" name="Picture 3357" descr="spacer">
          <a:extLst>
            <a:ext uri="{FF2B5EF4-FFF2-40B4-BE49-F238E27FC236}">
              <a16:creationId xmlns:a16="http://schemas.microsoft.com/office/drawing/2014/main" id="{7A29F804-A2EC-48F9-B7F9-FB2CA54FC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17" name="Picture 3358" descr="spacer">
          <a:extLst>
            <a:ext uri="{FF2B5EF4-FFF2-40B4-BE49-F238E27FC236}">
              <a16:creationId xmlns:a16="http://schemas.microsoft.com/office/drawing/2014/main" id="{009D1C19-7126-4973-9A0B-BAF17CB0F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18" name="Picture 3359" descr="spacer">
          <a:extLst>
            <a:ext uri="{FF2B5EF4-FFF2-40B4-BE49-F238E27FC236}">
              <a16:creationId xmlns:a16="http://schemas.microsoft.com/office/drawing/2014/main" id="{D758A71C-8871-490F-ABC5-307095216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19" name="Picture 3360" descr="spacer">
          <a:extLst>
            <a:ext uri="{FF2B5EF4-FFF2-40B4-BE49-F238E27FC236}">
              <a16:creationId xmlns:a16="http://schemas.microsoft.com/office/drawing/2014/main" id="{7009B9B3-4F96-4F38-8F2A-873295984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20" name="Picture 3361" descr="spacer">
          <a:extLst>
            <a:ext uri="{FF2B5EF4-FFF2-40B4-BE49-F238E27FC236}">
              <a16:creationId xmlns:a16="http://schemas.microsoft.com/office/drawing/2014/main" id="{EB146B9F-FFA5-4628-B8F6-A28B2AA9C5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21" name="Picture 3362" descr="spacer">
          <a:extLst>
            <a:ext uri="{FF2B5EF4-FFF2-40B4-BE49-F238E27FC236}">
              <a16:creationId xmlns:a16="http://schemas.microsoft.com/office/drawing/2014/main" id="{755A6B59-A8D7-4190-94F7-ED2DFC7513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3122" name="Picture 3365" descr="spacer">
          <a:extLst>
            <a:ext uri="{FF2B5EF4-FFF2-40B4-BE49-F238E27FC236}">
              <a16:creationId xmlns:a16="http://schemas.microsoft.com/office/drawing/2014/main" id="{57DA5804-DB97-4E2E-A491-D0D04E4E0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23" name="Picture 3367" descr="spacer">
          <a:extLst>
            <a:ext uri="{FF2B5EF4-FFF2-40B4-BE49-F238E27FC236}">
              <a16:creationId xmlns:a16="http://schemas.microsoft.com/office/drawing/2014/main" id="{536BACC7-17C3-4A90-8B3D-42333DE55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24" name="Picture 3368" descr="spacer">
          <a:extLst>
            <a:ext uri="{FF2B5EF4-FFF2-40B4-BE49-F238E27FC236}">
              <a16:creationId xmlns:a16="http://schemas.microsoft.com/office/drawing/2014/main" id="{5D42AD6A-3950-49AC-9AC2-B1F483368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25" name="Picture 3369" descr="spacer">
          <a:extLst>
            <a:ext uri="{FF2B5EF4-FFF2-40B4-BE49-F238E27FC236}">
              <a16:creationId xmlns:a16="http://schemas.microsoft.com/office/drawing/2014/main" id="{2E7C7026-359B-4A3A-8131-88177E54D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26" name="Picture 3370" descr="spacer">
          <a:extLst>
            <a:ext uri="{FF2B5EF4-FFF2-40B4-BE49-F238E27FC236}">
              <a16:creationId xmlns:a16="http://schemas.microsoft.com/office/drawing/2014/main" id="{7771D7C3-D09B-49C1-B931-D9A8B04BE5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27" name="Picture 3371" descr="spacer">
          <a:extLst>
            <a:ext uri="{FF2B5EF4-FFF2-40B4-BE49-F238E27FC236}">
              <a16:creationId xmlns:a16="http://schemas.microsoft.com/office/drawing/2014/main" id="{EDF329F2-62AF-4B0D-9C66-99FDBA7A3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28" name="Picture 3372" descr="spacer">
          <a:extLst>
            <a:ext uri="{FF2B5EF4-FFF2-40B4-BE49-F238E27FC236}">
              <a16:creationId xmlns:a16="http://schemas.microsoft.com/office/drawing/2014/main" id="{6E5D8B3F-17F7-460C-B8EA-926A40598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29" name="Picture 3373" descr="spacer">
          <a:extLst>
            <a:ext uri="{FF2B5EF4-FFF2-40B4-BE49-F238E27FC236}">
              <a16:creationId xmlns:a16="http://schemas.microsoft.com/office/drawing/2014/main" id="{D0C990FC-44D1-42D1-A943-54335B879F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30" name="Picture 3374" descr="spacer">
          <a:extLst>
            <a:ext uri="{FF2B5EF4-FFF2-40B4-BE49-F238E27FC236}">
              <a16:creationId xmlns:a16="http://schemas.microsoft.com/office/drawing/2014/main" id="{D26DAA28-A50D-4BA4-82C8-E880C45A8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31" name="Picture 3375" descr="spacer">
          <a:extLst>
            <a:ext uri="{FF2B5EF4-FFF2-40B4-BE49-F238E27FC236}">
              <a16:creationId xmlns:a16="http://schemas.microsoft.com/office/drawing/2014/main" id="{74D0EA31-477D-4023-913B-CBC82E8BCF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32" name="Picture 3376" descr="spacer">
          <a:extLst>
            <a:ext uri="{FF2B5EF4-FFF2-40B4-BE49-F238E27FC236}">
              <a16:creationId xmlns:a16="http://schemas.microsoft.com/office/drawing/2014/main" id="{DD96501E-0820-4AB2-879B-6E545A9CE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33" name="Picture 3377" descr="spacer">
          <a:extLst>
            <a:ext uri="{FF2B5EF4-FFF2-40B4-BE49-F238E27FC236}">
              <a16:creationId xmlns:a16="http://schemas.microsoft.com/office/drawing/2014/main" id="{DD7D31C4-B966-4876-9D2E-1E715FAAB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3134" name="Picture 3380" descr="spacer">
          <a:extLst>
            <a:ext uri="{FF2B5EF4-FFF2-40B4-BE49-F238E27FC236}">
              <a16:creationId xmlns:a16="http://schemas.microsoft.com/office/drawing/2014/main" id="{08FAD96B-83C6-4F8B-855C-6C10C4824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35" name="Picture 3382" descr="spacer">
          <a:extLst>
            <a:ext uri="{FF2B5EF4-FFF2-40B4-BE49-F238E27FC236}">
              <a16:creationId xmlns:a16="http://schemas.microsoft.com/office/drawing/2014/main" id="{0074657E-D18D-460D-A45B-83811190D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36" name="Picture 3383" descr="spacer">
          <a:extLst>
            <a:ext uri="{FF2B5EF4-FFF2-40B4-BE49-F238E27FC236}">
              <a16:creationId xmlns:a16="http://schemas.microsoft.com/office/drawing/2014/main" id="{DAD7A0A0-D34C-48A7-937F-192ACCE5EF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37" name="Picture 3384" descr="spacer">
          <a:extLst>
            <a:ext uri="{FF2B5EF4-FFF2-40B4-BE49-F238E27FC236}">
              <a16:creationId xmlns:a16="http://schemas.microsoft.com/office/drawing/2014/main" id="{4E7FAFE0-9F40-46BD-9899-2D230C322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38" name="Picture 3385" descr="spacer">
          <a:extLst>
            <a:ext uri="{FF2B5EF4-FFF2-40B4-BE49-F238E27FC236}">
              <a16:creationId xmlns:a16="http://schemas.microsoft.com/office/drawing/2014/main" id="{6783FE92-6E67-467D-9113-2C426F6396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39" name="Picture 3386" descr="spacer">
          <a:extLst>
            <a:ext uri="{FF2B5EF4-FFF2-40B4-BE49-F238E27FC236}">
              <a16:creationId xmlns:a16="http://schemas.microsoft.com/office/drawing/2014/main" id="{392F9B22-D6D4-4599-AAC6-B036AE40FE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40" name="Picture 3387" descr="spacer">
          <a:extLst>
            <a:ext uri="{FF2B5EF4-FFF2-40B4-BE49-F238E27FC236}">
              <a16:creationId xmlns:a16="http://schemas.microsoft.com/office/drawing/2014/main" id="{E6BBC3A8-1876-4049-90B8-1B7987E7A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41" name="Picture 3388" descr="spacer">
          <a:extLst>
            <a:ext uri="{FF2B5EF4-FFF2-40B4-BE49-F238E27FC236}">
              <a16:creationId xmlns:a16="http://schemas.microsoft.com/office/drawing/2014/main" id="{9DEAF70B-D3E6-4A91-894A-AEC665305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42" name="Picture 3389" descr="spacer">
          <a:extLst>
            <a:ext uri="{FF2B5EF4-FFF2-40B4-BE49-F238E27FC236}">
              <a16:creationId xmlns:a16="http://schemas.microsoft.com/office/drawing/2014/main" id="{B35F060E-7FDF-435A-88A5-CB27C7786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43" name="Picture 3390" descr="spacer">
          <a:extLst>
            <a:ext uri="{FF2B5EF4-FFF2-40B4-BE49-F238E27FC236}">
              <a16:creationId xmlns:a16="http://schemas.microsoft.com/office/drawing/2014/main" id="{947C81C2-3B90-4337-A4BD-D086FD578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44" name="Picture 3391" descr="spacer">
          <a:extLst>
            <a:ext uri="{FF2B5EF4-FFF2-40B4-BE49-F238E27FC236}">
              <a16:creationId xmlns:a16="http://schemas.microsoft.com/office/drawing/2014/main" id="{9448F3F3-FF05-46CE-8DAB-6DBC77D95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45" name="Picture 3392" descr="spacer">
          <a:extLst>
            <a:ext uri="{FF2B5EF4-FFF2-40B4-BE49-F238E27FC236}">
              <a16:creationId xmlns:a16="http://schemas.microsoft.com/office/drawing/2014/main" id="{8CFDDF2F-C0ED-4E2E-AE3A-72385C4C5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46" name="Picture 3393" descr="spacer">
          <a:extLst>
            <a:ext uri="{FF2B5EF4-FFF2-40B4-BE49-F238E27FC236}">
              <a16:creationId xmlns:a16="http://schemas.microsoft.com/office/drawing/2014/main" id="{0A5EB626-3545-4C46-96BE-32EC6817CA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47" name="Picture 3394" descr="spacer">
          <a:extLst>
            <a:ext uri="{FF2B5EF4-FFF2-40B4-BE49-F238E27FC236}">
              <a16:creationId xmlns:a16="http://schemas.microsoft.com/office/drawing/2014/main" id="{14241F26-F472-4EF5-A3A4-37101A49D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48" name="Picture 3395" descr="spacer">
          <a:extLst>
            <a:ext uri="{FF2B5EF4-FFF2-40B4-BE49-F238E27FC236}">
              <a16:creationId xmlns:a16="http://schemas.microsoft.com/office/drawing/2014/main" id="{E31D39D6-3139-4B7A-B87D-BDD386288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49" name="Picture 3396" descr="spacer">
          <a:extLst>
            <a:ext uri="{FF2B5EF4-FFF2-40B4-BE49-F238E27FC236}">
              <a16:creationId xmlns:a16="http://schemas.microsoft.com/office/drawing/2014/main" id="{5F768E18-89FD-4884-BE1D-6E6A032B3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3150" name="Picture 3399" descr="spacer">
          <a:extLst>
            <a:ext uri="{FF2B5EF4-FFF2-40B4-BE49-F238E27FC236}">
              <a16:creationId xmlns:a16="http://schemas.microsoft.com/office/drawing/2014/main" id="{AADA2BBB-15EB-4DE1-8AE9-E7E335D83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51" name="Picture 3401" descr="spacer">
          <a:extLst>
            <a:ext uri="{FF2B5EF4-FFF2-40B4-BE49-F238E27FC236}">
              <a16:creationId xmlns:a16="http://schemas.microsoft.com/office/drawing/2014/main" id="{1F400C22-B25C-4006-9849-29C9EE334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52" name="Picture 3402" descr="spacer">
          <a:extLst>
            <a:ext uri="{FF2B5EF4-FFF2-40B4-BE49-F238E27FC236}">
              <a16:creationId xmlns:a16="http://schemas.microsoft.com/office/drawing/2014/main" id="{E6C5AD24-3720-4B1B-B1A9-A92E6A0A3B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53" name="Picture 3403" descr="spacer">
          <a:extLst>
            <a:ext uri="{FF2B5EF4-FFF2-40B4-BE49-F238E27FC236}">
              <a16:creationId xmlns:a16="http://schemas.microsoft.com/office/drawing/2014/main" id="{38B57087-E336-459E-BC8C-B3395B0E5D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54" name="Picture 3404" descr="spacer">
          <a:extLst>
            <a:ext uri="{FF2B5EF4-FFF2-40B4-BE49-F238E27FC236}">
              <a16:creationId xmlns:a16="http://schemas.microsoft.com/office/drawing/2014/main" id="{4DB278BB-0FD6-4FF4-AED3-2BD72341D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55" name="Picture 3405" descr="spacer">
          <a:extLst>
            <a:ext uri="{FF2B5EF4-FFF2-40B4-BE49-F238E27FC236}">
              <a16:creationId xmlns:a16="http://schemas.microsoft.com/office/drawing/2014/main" id="{F6FE9B78-CE18-4004-9408-8B8FC8EE6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56" name="Picture 3406" descr="spacer">
          <a:extLst>
            <a:ext uri="{FF2B5EF4-FFF2-40B4-BE49-F238E27FC236}">
              <a16:creationId xmlns:a16="http://schemas.microsoft.com/office/drawing/2014/main" id="{61EFC099-E837-4C91-9D2A-80D7649678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57" name="Picture 3407" descr="spacer">
          <a:extLst>
            <a:ext uri="{FF2B5EF4-FFF2-40B4-BE49-F238E27FC236}">
              <a16:creationId xmlns:a16="http://schemas.microsoft.com/office/drawing/2014/main" id="{4ABC9F80-E732-4AAB-8B58-074DB5FEE8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58" name="Picture 3408" descr="spacer">
          <a:extLst>
            <a:ext uri="{FF2B5EF4-FFF2-40B4-BE49-F238E27FC236}">
              <a16:creationId xmlns:a16="http://schemas.microsoft.com/office/drawing/2014/main" id="{3CBC7CB6-6E7E-400B-AEB5-B999A4564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59" name="Picture 3409" descr="spacer">
          <a:extLst>
            <a:ext uri="{FF2B5EF4-FFF2-40B4-BE49-F238E27FC236}">
              <a16:creationId xmlns:a16="http://schemas.microsoft.com/office/drawing/2014/main" id="{53E842F2-1E2A-4B61-898A-7D5981477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60" name="Picture 3410" descr="spacer">
          <a:extLst>
            <a:ext uri="{FF2B5EF4-FFF2-40B4-BE49-F238E27FC236}">
              <a16:creationId xmlns:a16="http://schemas.microsoft.com/office/drawing/2014/main" id="{46F4BDB6-1088-490C-8FB0-9D72B18BD6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61" name="Picture 3411" descr="spacer">
          <a:extLst>
            <a:ext uri="{FF2B5EF4-FFF2-40B4-BE49-F238E27FC236}">
              <a16:creationId xmlns:a16="http://schemas.microsoft.com/office/drawing/2014/main" id="{DC906511-4704-4755-B7A1-5D637AF46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62" name="Picture 3412" descr="spacer">
          <a:extLst>
            <a:ext uri="{FF2B5EF4-FFF2-40B4-BE49-F238E27FC236}">
              <a16:creationId xmlns:a16="http://schemas.microsoft.com/office/drawing/2014/main" id="{FAD65737-8CE8-4EC9-80B2-DC69F52FE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63" name="Picture 3413" descr="spacer">
          <a:extLst>
            <a:ext uri="{FF2B5EF4-FFF2-40B4-BE49-F238E27FC236}">
              <a16:creationId xmlns:a16="http://schemas.microsoft.com/office/drawing/2014/main" id="{E0CC89EF-ECE6-4447-8971-11BE1BF9CA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3164" name="Picture 3416" descr="spacer">
          <a:extLst>
            <a:ext uri="{FF2B5EF4-FFF2-40B4-BE49-F238E27FC236}">
              <a16:creationId xmlns:a16="http://schemas.microsoft.com/office/drawing/2014/main" id="{A6BB0014-D762-46CE-BD67-C4DF87D7A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65" name="Picture 3418" descr="spacer">
          <a:extLst>
            <a:ext uri="{FF2B5EF4-FFF2-40B4-BE49-F238E27FC236}">
              <a16:creationId xmlns:a16="http://schemas.microsoft.com/office/drawing/2014/main" id="{A57A300C-C50A-40F2-9690-BE7D7A150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66" name="Picture 3419" descr="spacer">
          <a:extLst>
            <a:ext uri="{FF2B5EF4-FFF2-40B4-BE49-F238E27FC236}">
              <a16:creationId xmlns:a16="http://schemas.microsoft.com/office/drawing/2014/main" id="{601921FD-3404-466B-A9A0-047C1F9E4F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67" name="Picture 3420" descr="spacer">
          <a:extLst>
            <a:ext uri="{FF2B5EF4-FFF2-40B4-BE49-F238E27FC236}">
              <a16:creationId xmlns:a16="http://schemas.microsoft.com/office/drawing/2014/main" id="{6F617C12-63B1-4A21-8FD5-A1A7308B3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68" name="Picture 3421" descr="spacer">
          <a:extLst>
            <a:ext uri="{FF2B5EF4-FFF2-40B4-BE49-F238E27FC236}">
              <a16:creationId xmlns:a16="http://schemas.microsoft.com/office/drawing/2014/main" id="{66294E88-8E8E-4686-9E26-67BF9D15A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69" name="Picture 3422" descr="spacer">
          <a:extLst>
            <a:ext uri="{FF2B5EF4-FFF2-40B4-BE49-F238E27FC236}">
              <a16:creationId xmlns:a16="http://schemas.microsoft.com/office/drawing/2014/main" id="{528BDEA1-5C8E-410A-93C1-A06C50527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70" name="Picture 3423" descr="spacer">
          <a:extLst>
            <a:ext uri="{FF2B5EF4-FFF2-40B4-BE49-F238E27FC236}">
              <a16:creationId xmlns:a16="http://schemas.microsoft.com/office/drawing/2014/main" id="{86738EC3-2C22-4CF5-99CE-568D3C359B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71" name="Picture 3424" descr="spacer">
          <a:extLst>
            <a:ext uri="{FF2B5EF4-FFF2-40B4-BE49-F238E27FC236}">
              <a16:creationId xmlns:a16="http://schemas.microsoft.com/office/drawing/2014/main" id="{FCA21B70-9686-4915-A876-DD6649AD5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72" name="Picture 3425" descr="spacer">
          <a:extLst>
            <a:ext uri="{FF2B5EF4-FFF2-40B4-BE49-F238E27FC236}">
              <a16:creationId xmlns:a16="http://schemas.microsoft.com/office/drawing/2014/main" id="{D0242B36-ED2F-4449-91F4-DF118CEE8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73" name="Picture 3426" descr="spacer">
          <a:extLst>
            <a:ext uri="{FF2B5EF4-FFF2-40B4-BE49-F238E27FC236}">
              <a16:creationId xmlns:a16="http://schemas.microsoft.com/office/drawing/2014/main" id="{4D5D6FBC-A3BA-453C-99E4-03A816D862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74" name="Picture 3427" descr="spacer">
          <a:extLst>
            <a:ext uri="{FF2B5EF4-FFF2-40B4-BE49-F238E27FC236}">
              <a16:creationId xmlns:a16="http://schemas.microsoft.com/office/drawing/2014/main" id="{CA308506-E18D-457C-97EE-CF589CD84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75" name="Picture 3428" descr="spacer">
          <a:extLst>
            <a:ext uri="{FF2B5EF4-FFF2-40B4-BE49-F238E27FC236}">
              <a16:creationId xmlns:a16="http://schemas.microsoft.com/office/drawing/2014/main" id="{F1B1E7FE-D4E3-4E0E-984F-4C3383E1E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3176" name="Picture 3431" descr="spacer">
          <a:extLst>
            <a:ext uri="{FF2B5EF4-FFF2-40B4-BE49-F238E27FC236}">
              <a16:creationId xmlns:a16="http://schemas.microsoft.com/office/drawing/2014/main" id="{35095554-63B8-47DE-A3CA-080B04163E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77" name="Picture 3433" descr="spacer">
          <a:extLst>
            <a:ext uri="{FF2B5EF4-FFF2-40B4-BE49-F238E27FC236}">
              <a16:creationId xmlns:a16="http://schemas.microsoft.com/office/drawing/2014/main" id="{2B7E8A3C-A9C8-4181-816F-5596D7AC17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78" name="Picture 3434" descr="spacer">
          <a:extLst>
            <a:ext uri="{FF2B5EF4-FFF2-40B4-BE49-F238E27FC236}">
              <a16:creationId xmlns:a16="http://schemas.microsoft.com/office/drawing/2014/main" id="{97079A34-D637-4200-870B-F43407422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79" name="Picture 3435" descr="spacer">
          <a:extLst>
            <a:ext uri="{FF2B5EF4-FFF2-40B4-BE49-F238E27FC236}">
              <a16:creationId xmlns:a16="http://schemas.microsoft.com/office/drawing/2014/main" id="{603F3DA1-32C3-43BE-A12D-87594BD6A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80" name="Picture 3436" descr="spacer">
          <a:extLst>
            <a:ext uri="{FF2B5EF4-FFF2-40B4-BE49-F238E27FC236}">
              <a16:creationId xmlns:a16="http://schemas.microsoft.com/office/drawing/2014/main" id="{5A6A932E-B82E-4C51-9D67-E852D85F5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81" name="Picture 3437" descr="spacer">
          <a:extLst>
            <a:ext uri="{FF2B5EF4-FFF2-40B4-BE49-F238E27FC236}">
              <a16:creationId xmlns:a16="http://schemas.microsoft.com/office/drawing/2014/main" id="{616C80BC-28EC-4B13-981C-7E743F0087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82" name="Picture 3438" descr="spacer">
          <a:extLst>
            <a:ext uri="{FF2B5EF4-FFF2-40B4-BE49-F238E27FC236}">
              <a16:creationId xmlns:a16="http://schemas.microsoft.com/office/drawing/2014/main" id="{70FCA395-1BC0-431D-9379-E47DF8239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83" name="Picture 3439" descr="spacer">
          <a:extLst>
            <a:ext uri="{FF2B5EF4-FFF2-40B4-BE49-F238E27FC236}">
              <a16:creationId xmlns:a16="http://schemas.microsoft.com/office/drawing/2014/main" id="{744A5D8A-2E7D-417F-A6A3-0677E6663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84" name="Picture 3440" descr="spacer">
          <a:extLst>
            <a:ext uri="{FF2B5EF4-FFF2-40B4-BE49-F238E27FC236}">
              <a16:creationId xmlns:a16="http://schemas.microsoft.com/office/drawing/2014/main" id="{88918C87-9EAE-497A-916E-D9E4E745B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85" name="Picture 3441" descr="spacer">
          <a:extLst>
            <a:ext uri="{FF2B5EF4-FFF2-40B4-BE49-F238E27FC236}">
              <a16:creationId xmlns:a16="http://schemas.microsoft.com/office/drawing/2014/main" id="{BC65EFB4-AE98-4C2C-85EC-E1F3D4D62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86" name="Picture 3442" descr="spacer">
          <a:extLst>
            <a:ext uri="{FF2B5EF4-FFF2-40B4-BE49-F238E27FC236}">
              <a16:creationId xmlns:a16="http://schemas.microsoft.com/office/drawing/2014/main" id="{CBE5C2CB-625A-47E8-8178-5FD63D9EFB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87" name="Picture 3443" descr="spacer">
          <a:extLst>
            <a:ext uri="{FF2B5EF4-FFF2-40B4-BE49-F238E27FC236}">
              <a16:creationId xmlns:a16="http://schemas.microsoft.com/office/drawing/2014/main" id="{B5BEEF95-6110-4667-A91C-5C101628E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88" name="Picture 3444" descr="spacer">
          <a:extLst>
            <a:ext uri="{FF2B5EF4-FFF2-40B4-BE49-F238E27FC236}">
              <a16:creationId xmlns:a16="http://schemas.microsoft.com/office/drawing/2014/main" id="{D1A13EC2-1060-4A06-9430-2DB276413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89" name="Picture 3445" descr="spacer">
          <a:extLst>
            <a:ext uri="{FF2B5EF4-FFF2-40B4-BE49-F238E27FC236}">
              <a16:creationId xmlns:a16="http://schemas.microsoft.com/office/drawing/2014/main" id="{76C254ED-D867-4AF0-86F7-FD47EB537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90" name="Picture 3446" descr="spacer">
          <a:extLst>
            <a:ext uri="{FF2B5EF4-FFF2-40B4-BE49-F238E27FC236}">
              <a16:creationId xmlns:a16="http://schemas.microsoft.com/office/drawing/2014/main" id="{EBE70D18-7D83-4A8A-819A-2CF1D6973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3191" name="Picture 3449" descr="spacer">
          <a:extLst>
            <a:ext uri="{FF2B5EF4-FFF2-40B4-BE49-F238E27FC236}">
              <a16:creationId xmlns:a16="http://schemas.microsoft.com/office/drawing/2014/main" id="{BF3E821E-4929-4EA3-BC58-531D645D6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92" name="Picture 3451" descr="spacer">
          <a:extLst>
            <a:ext uri="{FF2B5EF4-FFF2-40B4-BE49-F238E27FC236}">
              <a16:creationId xmlns:a16="http://schemas.microsoft.com/office/drawing/2014/main" id="{60ECF225-27FE-412C-8DE5-B04CABEDE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93" name="Picture 3452" descr="spacer">
          <a:extLst>
            <a:ext uri="{FF2B5EF4-FFF2-40B4-BE49-F238E27FC236}">
              <a16:creationId xmlns:a16="http://schemas.microsoft.com/office/drawing/2014/main" id="{912C0D82-DD53-4FCC-B4B5-6AF44B27A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94" name="Picture 3453" descr="spacer">
          <a:extLst>
            <a:ext uri="{FF2B5EF4-FFF2-40B4-BE49-F238E27FC236}">
              <a16:creationId xmlns:a16="http://schemas.microsoft.com/office/drawing/2014/main" id="{E7D0F8D2-6997-4F50-BF38-82F7B1789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95" name="Picture 3454" descr="spacer">
          <a:extLst>
            <a:ext uri="{FF2B5EF4-FFF2-40B4-BE49-F238E27FC236}">
              <a16:creationId xmlns:a16="http://schemas.microsoft.com/office/drawing/2014/main" id="{3371A8AE-A838-4C6E-AA2B-4E1392B0B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96" name="Picture 3455" descr="spacer">
          <a:extLst>
            <a:ext uri="{FF2B5EF4-FFF2-40B4-BE49-F238E27FC236}">
              <a16:creationId xmlns:a16="http://schemas.microsoft.com/office/drawing/2014/main" id="{F576F9DE-DB49-49A7-BFA8-CB9643AF0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97" name="Picture 3456" descr="spacer">
          <a:extLst>
            <a:ext uri="{FF2B5EF4-FFF2-40B4-BE49-F238E27FC236}">
              <a16:creationId xmlns:a16="http://schemas.microsoft.com/office/drawing/2014/main" id="{ACFBD4D9-3446-407E-A07C-050B6F822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98" name="Picture 3457" descr="spacer">
          <a:extLst>
            <a:ext uri="{FF2B5EF4-FFF2-40B4-BE49-F238E27FC236}">
              <a16:creationId xmlns:a16="http://schemas.microsoft.com/office/drawing/2014/main" id="{1C4379B5-3959-437F-BD57-5623ACD46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199" name="Picture 3458" descr="spacer">
          <a:extLst>
            <a:ext uri="{FF2B5EF4-FFF2-40B4-BE49-F238E27FC236}">
              <a16:creationId xmlns:a16="http://schemas.microsoft.com/office/drawing/2014/main" id="{5F6C6032-68B1-413F-BB19-6E1362D70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00" name="Picture 3459" descr="spacer">
          <a:extLst>
            <a:ext uri="{FF2B5EF4-FFF2-40B4-BE49-F238E27FC236}">
              <a16:creationId xmlns:a16="http://schemas.microsoft.com/office/drawing/2014/main" id="{2DA8DC67-8C41-4034-8CC4-E243E9F4E2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01" name="Picture 3460" descr="spacer">
          <a:extLst>
            <a:ext uri="{FF2B5EF4-FFF2-40B4-BE49-F238E27FC236}">
              <a16:creationId xmlns:a16="http://schemas.microsoft.com/office/drawing/2014/main" id="{3E928E8A-407C-4D6D-8586-EC186CA98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02" name="Picture 3461" descr="spacer">
          <a:extLst>
            <a:ext uri="{FF2B5EF4-FFF2-40B4-BE49-F238E27FC236}">
              <a16:creationId xmlns:a16="http://schemas.microsoft.com/office/drawing/2014/main" id="{729F38B5-805B-4887-B346-A94A778DA6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03" name="Picture 3462" descr="spacer">
          <a:extLst>
            <a:ext uri="{FF2B5EF4-FFF2-40B4-BE49-F238E27FC236}">
              <a16:creationId xmlns:a16="http://schemas.microsoft.com/office/drawing/2014/main" id="{6DA54264-298A-4B21-8606-5274B34D9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04" name="Picture 3463" descr="spacer">
          <a:extLst>
            <a:ext uri="{FF2B5EF4-FFF2-40B4-BE49-F238E27FC236}">
              <a16:creationId xmlns:a16="http://schemas.microsoft.com/office/drawing/2014/main" id="{82EB1CB5-9833-4B1F-BC8D-37881BBD87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3205" name="Picture 3466" descr="spacer">
          <a:extLst>
            <a:ext uri="{FF2B5EF4-FFF2-40B4-BE49-F238E27FC236}">
              <a16:creationId xmlns:a16="http://schemas.microsoft.com/office/drawing/2014/main" id="{0F280EEB-F73C-451B-9494-1B31F60E0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06" name="Picture 3468" descr="spacer">
          <a:extLst>
            <a:ext uri="{FF2B5EF4-FFF2-40B4-BE49-F238E27FC236}">
              <a16:creationId xmlns:a16="http://schemas.microsoft.com/office/drawing/2014/main" id="{D1F23C03-01B1-401E-999B-23EB8D1FF6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07" name="Picture 3469" descr="spacer">
          <a:extLst>
            <a:ext uri="{FF2B5EF4-FFF2-40B4-BE49-F238E27FC236}">
              <a16:creationId xmlns:a16="http://schemas.microsoft.com/office/drawing/2014/main" id="{7E780DBA-0CC2-4550-A41C-CECDBE7C2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08" name="Picture 3470" descr="spacer">
          <a:extLst>
            <a:ext uri="{FF2B5EF4-FFF2-40B4-BE49-F238E27FC236}">
              <a16:creationId xmlns:a16="http://schemas.microsoft.com/office/drawing/2014/main" id="{46F89EA5-01B8-4FBC-B88E-C4A97AC6A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09" name="Picture 3471" descr="spacer">
          <a:extLst>
            <a:ext uri="{FF2B5EF4-FFF2-40B4-BE49-F238E27FC236}">
              <a16:creationId xmlns:a16="http://schemas.microsoft.com/office/drawing/2014/main" id="{EFAA30DF-E406-4F4B-B4BB-659C74E3F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10" name="Picture 3472" descr="spacer">
          <a:extLst>
            <a:ext uri="{FF2B5EF4-FFF2-40B4-BE49-F238E27FC236}">
              <a16:creationId xmlns:a16="http://schemas.microsoft.com/office/drawing/2014/main" id="{5A28955E-AC72-4FA5-AE8D-F008598CD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11" name="Picture 3473" descr="spacer">
          <a:extLst>
            <a:ext uri="{FF2B5EF4-FFF2-40B4-BE49-F238E27FC236}">
              <a16:creationId xmlns:a16="http://schemas.microsoft.com/office/drawing/2014/main" id="{E5FB74A9-F4B5-4E77-86FD-901A057FA7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12" name="Picture 3474" descr="spacer">
          <a:extLst>
            <a:ext uri="{FF2B5EF4-FFF2-40B4-BE49-F238E27FC236}">
              <a16:creationId xmlns:a16="http://schemas.microsoft.com/office/drawing/2014/main" id="{7606F011-CCC8-4BC7-82D8-6E9329652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13" name="Picture 3475" descr="spacer">
          <a:extLst>
            <a:ext uri="{FF2B5EF4-FFF2-40B4-BE49-F238E27FC236}">
              <a16:creationId xmlns:a16="http://schemas.microsoft.com/office/drawing/2014/main" id="{EEC2BC61-AE6B-4C1F-AE18-DDF414A12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14" name="Picture 3476" descr="spacer">
          <a:extLst>
            <a:ext uri="{FF2B5EF4-FFF2-40B4-BE49-F238E27FC236}">
              <a16:creationId xmlns:a16="http://schemas.microsoft.com/office/drawing/2014/main" id="{C187EABE-FAE3-44F7-B30D-A6445E309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15" name="Picture 3477" descr="spacer">
          <a:extLst>
            <a:ext uri="{FF2B5EF4-FFF2-40B4-BE49-F238E27FC236}">
              <a16:creationId xmlns:a16="http://schemas.microsoft.com/office/drawing/2014/main" id="{E79555D1-2592-4C0A-A15E-AFA08AF81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16" name="Picture 3478" descr="spacer">
          <a:extLst>
            <a:ext uri="{FF2B5EF4-FFF2-40B4-BE49-F238E27FC236}">
              <a16:creationId xmlns:a16="http://schemas.microsoft.com/office/drawing/2014/main" id="{CBB725CC-FC52-4A37-825E-0002242ED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17" name="Picture 3479" descr="spacer">
          <a:extLst>
            <a:ext uri="{FF2B5EF4-FFF2-40B4-BE49-F238E27FC236}">
              <a16:creationId xmlns:a16="http://schemas.microsoft.com/office/drawing/2014/main" id="{63EAAB14-C832-44DC-9D77-5D3945C0A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18" name="Picture 3480" descr="spacer">
          <a:extLst>
            <a:ext uri="{FF2B5EF4-FFF2-40B4-BE49-F238E27FC236}">
              <a16:creationId xmlns:a16="http://schemas.microsoft.com/office/drawing/2014/main" id="{D2B6F5C1-715F-470D-9EFF-666A6C2A61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3219" name="Picture 3483" descr="spacer">
          <a:extLst>
            <a:ext uri="{FF2B5EF4-FFF2-40B4-BE49-F238E27FC236}">
              <a16:creationId xmlns:a16="http://schemas.microsoft.com/office/drawing/2014/main" id="{9DB85184-FE5E-4CD2-9F89-651535737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20" name="Picture 3485" descr="spacer">
          <a:extLst>
            <a:ext uri="{FF2B5EF4-FFF2-40B4-BE49-F238E27FC236}">
              <a16:creationId xmlns:a16="http://schemas.microsoft.com/office/drawing/2014/main" id="{969CC359-E2F8-4BEF-A3F1-E43730B68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21" name="Picture 3486" descr="spacer">
          <a:extLst>
            <a:ext uri="{FF2B5EF4-FFF2-40B4-BE49-F238E27FC236}">
              <a16:creationId xmlns:a16="http://schemas.microsoft.com/office/drawing/2014/main" id="{04E88BF9-5334-4C97-9DB9-C2EDDB731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22" name="Picture 3487" descr="spacer">
          <a:extLst>
            <a:ext uri="{FF2B5EF4-FFF2-40B4-BE49-F238E27FC236}">
              <a16:creationId xmlns:a16="http://schemas.microsoft.com/office/drawing/2014/main" id="{11DF6B4B-F859-46B7-A4DE-B79DDB9CF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23" name="Picture 3488" descr="spacer">
          <a:extLst>
            <a:ext uri="{FF2B5EF4-FFF2-40B4-BE49-F238E27FC236}">
              <a16:creationId xmlns:a16="http://schemas.microsoft.com/office/drawing/2014/main" id="{20E02206-9E3B-4323-B826-5213A3700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24" name="Picture 3489" descr="spacer">
          <a:extLst>
            <a:ext uri="{FF2B5EF4-FFF2-40B4-BE49-F238E27FC236}">
              <a16:creationId xmlns:a16="http://schemas.microsoft.com/office/drawing/2014/main" id="{A8D57374-54A3-4D1D-869C-0F0F8DF05F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25" name="Picture 3490" descr="spacer">
          <a:extLst>
            <a:ext uri="{FF2B5EF4-FFF2-40B4-BE49-F238E27FC236}">
              <a16:creationId xmlns:a16="http://schemas.microsoft.com/office/drawing/2014/main" id="{EB5FA78E-8CD6-4D06-8047-1CB4E06CC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26" name="Picture 3491" descr="spacer">
          <a:extLst>
            <a:ext uri="{FF2B5EF4-FFF2-40B4-BE49-F238E27FC236}">
              <a16:creationId xmlns:a16="http://schemas.microsoft.com/office/drawing/2014/main" id="{F35CD984-8B82-46CD-A67A-68A2F9021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27" name="Picture 3492" descr="spacer">
          <a:extLst>
            <a:ext uri="{FF2B5EF4-FFF2-40B4-BE49-F238E27FC236}">
              <a16:creationId xmlns:a16="http://schemas.microsoft.com/office/drawing/2014/main" id="{CCF1F75A-E32B-4D05-A314-ABC588D43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28" name="Picture 3493" descr="spacer">
          <a:extLst>
            <a:ext uri="{FF2B5EF4-FFF2-40B4-BE49-F238E27FC236}">
              <a16:creationId xmlns:a16="http://schemas.microsoft.com/office/drawing/2014/main" id="{771ABB31-55F5-48C1-B21C-860C08549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29" name="Picture 3494" descr="spacer">
          <a:extLst>
            <a:ext uri="{FF2B5EF4-FFF2-40B4-BE49-F238E27FC236}">
              <a16:creationId xmlns:a16="http://schemas.microsoft.com/office/drawing/2014/main" id="{DA1E1DE3-5C52-4B34-BC05-3A556A1E3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30" name="Picture 3495" descr="spacer">
          <a:extLst>
            <a:ext uri="{FF2B5EF4-FFF2-40B4-BE49-F238E27FC236}">
              <a16:creationId xmlns:a16="http://schemas.microsoft.com/office/drawing/2014/main" id="{D42A7120-A67D-4D72-96C2-4C648F20B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31" name="Picture 3496" descr="spacer">
          <a:extLst>
            <a:ext uri="{FF2B5EF4-FFF2-40B4-BE49-F238E27FC236}">
              <a16:creationId xmlns:a16="http://schemas.microsoft.com/office/drawing/2014/main" id="{C4B3D113-1241-45C8-9375-3037820D4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32" name="Picture 3497" descr="spacer">
          <a:extLst>
            <a:ext uri="{FF2B5EF4-FFF2-40B4-BE49-F238E27FC236}">
              <a16:creationId xmlns:a16="http://schemas.microsoft.com/office/drawing/2014/main" id="{50C2B313-5FFC-443A-99A0-F024F5D6A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33" name="Picture 3498" descr="spacer">
          <a:extLst>
            <a:ext uri="{FF2B5EF4-FFF2-40B4-BE49-F238E27FC236}">
              <a16:creationId xmlns:a16="http://schemas.microsoft.com/office/drawing/2014/main" id="{6C37C91E-1A0D-45FC-A5CA-F4CBD5504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3234" name="Picture 3501" descr="spacer">
          <a:extLst>
            <a:ext uri="{FF2B5EF4-FFF2-40B4-BE49-F238E27FC236}">
              <a16:creationId xmlns:a16="http://schemas.microsoft.com/office/drawing/2014/main" id="{964843EB-6B97-4A94-B0FD-055EFC3245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35" name="Picture 3503" descr="spacer">
          <a:extLst>
            <a:ext uri="{FF2B5EF4-FFF2-40B4-BE49-F238E27FC236}">
              <a16:creationId xmlns:a16="http://schemas.microsoft.com/office/drawing/2014/main" id="{8099F3FB-D47B-495B-9331-9DAD0967C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36" name="Picture 3504" descr="spacer">
          <a:extLst>
            <a:ext uri="{FF2B5EF4-FFF2-40B4-BE49-F238E27FC236}">
              <a16:creationId xmlns:a16="http://schemas.microsoft.com/office/drawing/2014/main" id="{C519B228-472D-4E66-A511-98D17A69B0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37" name="Picture 3505" descr="spacer">
          <a:extLst>
            <a:ext uri="{FF2B5EF4-FFF2-40B4-BE49-F238E27FC236}">
              <a16:creationId xmlns:a16="http://schemas.microsoft.com/office/drawing/2014/main" id="{DD2C5C26-03A1-435D-83C7-0924122D0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38" name="Picture 3506" descr="spacer">
          <a:extLst>
            <a:ext uri="{FF2B5EF4-FFF2-40B4-BE49-F238E27FC236}">
              <a16:creationId xmlns:a16="http://schemas.microsoft.com/office/drawing/2014/main" id="{14BFF68D-7B50-486C-9BA1-9778341CF0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39" name="Picture 3507" descr="spacer">
          <a:extLst>
            <a:ext uri="{FF2B5EF4-FFF2-40B4-BE49-F238E27FC236}">
              <a16:creationId xmlns:a16="http://schemas.microsoft.com/office/drawing/2014/main" id="{2DE1015A-180F-44AB-BA5E-41187A46B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40" name="Picture 3508" descr="spacer">
          <a:extLst>
            <a:ext uri="{FF2B5EF4-FFF2-40B4-BE49-F238E27FC236}">
              <a16:creationId xmlns:a16="http://schemas.microsoft.com/office/drawing/2014/main" id="{63349F2A-A351-4324-BC7D-AD4960037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41" name="Picture 3509" descr="spacer">
          <a:extLst>
            <a:ext uri="{FF2B5EF4-FFF2-40B4-BE49-F238E27FC236}">
              <a16:creationId xmlns:a16="http://schemas.microsoft.com/office/drawing/2014/main" id="{563F1A34-03E5-444D-93D8-D807D663D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42" name="Picture 3510" descr="spacer">
          <a:extLst>
            <a:ext uri="{FF2B5EF4-FFF2-40B4-BE49-F238E27FC236}">
              <a16:creationId xmlns:a16="http://schemas.microsoft.com/office/drawing/2014/main" id="{FBDCB436-0B65-4A2F-AFC1-B4683B7FC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43" name="Picture 3511" descr="spacer">
          <a:extLst>
            <a:ext uri="{FF2B5EF4-FFF2-40B4-BE49-F238E27FC236}">
              <a16:creationId xmlns:a16="http://schemas.microsoft.com/office/drawing/2014/main" id="{04939844-E2C8-4A17-A36D-2A86F5901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44" name="Picture 3512" descr="spacer">
          <a:extLst>
            <a:ext uri="{FF2B5EF4-FFF2-40B4-BE49-F238E27FC236}">
              <a16:creationId xmlns:a16="http://schemas.microsoft.com/office/drawing/2014/main" id="{A08AC6B5-E68A-4AB2-93DA-290D23EE5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45" name="Picture 3513" descr="spacer">
          <a:extLst>
            <a:ext uri="{FF2B5EF4-FFF2-40B4-BE49-F238E27FC236}">
              <a16:creationId xmlns:a16="http://schemas.microsoft.com/office/drawing/2014/main" id="{CA8FBBE8-AFCB-4E8C-93A4-AC7CCD112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46" name="Picture 3514" descr="spacer">
          <a:extLst>
            <a:ext uri="{FF2B5EF4-FFF2-40B4-BE49-F238E27FC236}">
              <a16:creationId xmlns:a16="http://schemas.microsoft.com/office/drawing/2014/main" id="{F8A2EA4E-D8B9-4A9C-83F2-6CDDC4826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47" name="Picture 3515" descr="spacer">
          <a:extLst>
            <a:ext uri="{FF2B5EF4-FFF2-40B4-BE49-F238E27FC236}">
              <a16:creationId xmlns:a16="http://schemas.microsoft.com/office/drawing/2014/main" id="{DFA10E8F-7B28-4468-B002-C468DF4DB7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48" name="Picture 3516" descr="spacer">
          <a:extLst>
            <a:ext uri="{FF2B5EF4-FFF2-40B4-BE49-F238E27FC236}">
              <a16:creationId xmlns:a16="http://schemas.microsoft.com/office/drawing/2014/main" id="{6CC03BB1-D269-4D76-B4E0-A2314CC24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3249" name="Picture 3519" descr="spacer">
          <a:extLst>
            <a:ext uri="{FF2B5EF4-FFF2-40B4-BE49-F238E27FC236}">
              <a16:creationId xmlns:a16="http://schemas.microsoft.com/office/drawing/2014/main" id="{DFEB930A-4A6B-415C-9C55-CA72CA4C3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50" name="Picture 3521" descr="spacer">
          <a:extLst>
            <a:ext uri="{FF2B5EF4-FFF2-40B4-BE49-F238E27FC236}">
              <a16:creationId xmlns:a16="http://schemas.microsoft.com/office/drawing/2014/main" id="{69DBC93C-BAFC-49DB-9FD6-D172405C05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51" name="Picture 3522" descr="spacer">
          <a:extLst>
            <a:ext uri="{FF2B5EF4-FFF2-40B4-BE49-F238E27FC236}">
              <a16:creationId xmlns:a16="http://schemas.microsoft.com/office/drawing/2014/main" id="{B543FC7A-5396-4BF9-ADA3-C4B5613D2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52" name="Picture 3523" descr="spacer">
          <a:extLst>
            <a:ext uri="{FF2B5EF4-FFF2-40B4-BE49-F238E27FC236}">
              <a16:creationId xmlns:a16="http://schemas.microsoft.com/office/drawing/2014/main" id="{1B75051F-9013-46CA-90B4-D32579B79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53" name="Picture 3524" descr="spacer">
          <a:extLst>
            <a:ext uri="{FF2B5EF4-FFF2-40B4-BE49-F238E27FC236}">
              <a16:creationId xmlns:a16="http://schemas.microsoft.com/office/drawing/2014/main" id="{76301847-0E79-4DF3-8E3A-AD131B64B9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54" name="Picture 3525" descr="spacer">
          <a:extLst>
            <a:ext uri="{FF2B5EF4-FFF2-40B4-BE49-F238E27FC236}">
              <a16:creationId xmlns:a16="http://schemas.microsoft.com/office/drawing/2014/main" id="{E4DA9577-3347-4626-A048-4C57B1A3B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55" name="Picture 3526" descr="spacer">
          <a:extLst>
            <a:ext uri="{FF2B5EF4-FFF2-40B4-BE49-F238E27FC236}">
              <a16:creationId xmlns:a16="http://schemas.microsoft.com/office/drawing/2014/main" id="{7C6741F4-9CA1-4401-9930-9735D9CFA2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56" name="Picture 3527" descr="spacer">
          <a:extLst>
            <a:ext uri="{FF2B5EF4-FFF2-40B4-BE49-F238E27FC236}">
              <a16:creationId xmlns:a16="http://schemas.microsoft.com/office/drawing/2014/main" id="{A4A89158-69B1-4BCD-9E1D-32258FB6F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57" name="Picture 3528" descr="spacer">
          <a:extLst>
            <a:ext uri="{FF2B5EF4-FFF2-40B4-BE49-F238E27FC236}">
              <a16:creationId xmlns:a16="http://schemas.microsoft.com/office/drawing/2014/main" id="{68A0DFB1-20B4-4CEE-9223-49093F30C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58" name="Picture 3529" descr="spacer">
          <a:extLst>
            <a:ext uri="{FF2B5EF4-FFF2-40B4-BE49-F238E27FC236}">
              <a16:creationId xmlns:a16="http://schemas.microsoft.com/office/drawing/2014/main" id="{36A8589D-049A-4EB7-AC66-58D614A58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59" name="Picture 3530" descr="spacer">
          <a:extLst>
            <a:ext uri="{FF2B5EF4-FFF2-40B4-BE49-F238E27FC236}">
              <a16:creationId xmlns:a16="http://schemas.microsoft.com/office/drawing/2014/main" id="{CC30E772-95E1-4891-88FD-7338EB1281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60" name="Picture 3531" descr="spacer">
          <a:extLst>
            <a:ext uri="{FF2B5EF4-FFF2-40B4-BE49-F238E27FC236}">
              <a16:creationId xmlns:a16="http://schemas.microsoft.com/office/drawing/2014/main" id="{D02DAB2E-B6BA-4FA6-B2B0-996A3C928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61" name="Picture 3532" descr="spacer">
          <a:extLst>
            <a:ext uri="{FF2B5EF4-FFF2-40B4-BE49-F238E27FC236}">
              <a16:creationId xmlns:a16="http://schemas.microsoft.com/office/drawing/2014/main" id="{EEB658EC-DD91-4F6D-9B2A-309288111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62" name="Picture 3533" descr="spacer">
          <a:extLst>
            <a:ext uri="{FF2B5EF4-FFF2-40B4-BE49-F238E27FC236}">
              <a16:creationId xmlns:a16="http://schemas.microsoft.com/office/drawing/2014/main" id="{8F6D1AD9-6AD6-4BBD-A047-2A070099A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63" name="Picture 3534" descr="spacer">
          <a:extLst>
            <a:ext uri="{FF2B5EF4-FFF2-40B4-BE49-F238E27FC236}">
              <a16:creationId xmlns:a16="http://schemas.microsoft.com/office/drawing/2014/main" id="{FFDF828E-D9AE-4BE3-8A62-204E28680E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3264" name="Picture 3537" descr="spacer">
          <a:extLst>
            <a:ext uri="{FF2B5EF4-FFF2-40B4-BE49-F238E27FC236}">
              <a16:creationId xmlns:a16="http://schemas.microsoft.com/office/drawing/2014/main" id="{F266CB55-D811-4C8F-B215-29BDBE3F4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65" name="Picture 3539" descr="spacer">
          <a:extLst>
            <a:ext uri="{FF2B5EF4-FFF2-40B4-BE49-F238E27FC236}">
              <a16:creationId xmlns:a16="http://schemas.microsoft.com/office/drawing/2014/main" id="{6AFC217D-E55A-4FE6-9AEC-391231DDA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66" name="Picture 3540" descr="spacer">
          <a:extLst>
            <a:ext uri="{FF2B5EF4-FFF2-40B4-BE49-F238E27FC236}">
              <a16:creationId xmlns:a16="http://schemas.microsoft.com/office/drawing/2014/main" id="{ED7D3A8B-EA70-4D92-821A-DA7FF46BD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67" name="Picture 3541" descr="spacer">
          <a:extLst>
            <a:ext uri="{FF2B5EF4-FFF2-40B4-BE49-F238E27FC236}">
              <a16:creationId xmlns:a16="http://schemas.microsoft.com/office/drawing/2014/main" id="{4DD8F779-956F-41FD-8E0B-499958A59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68" name="Picture 3542" descr="spacer">
          <a:extLst>
            <a:ext uri="{FF2B5EF4-FFF2-40B4-BE49-F238E27FC236}">
              <a16:creationId xmlns:a16="http://schemas.microsoft.com/office/drawing/2014/main" id="{025852FF-EEC6-43E4-876A-1179C393C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69" name="Picture 3543" descr="spacer">
          <a:extLst>
            <a:ext uri="{FF2B5EF4-FFF2-40B4-BE49-F238E27FC236}">
              <a16:creationId xmlns:a16="http://schemas.microsoft.com/office/drawing/2014/main" id="{F3B4BCC0-0E65-4261-B3AE-2D43C4785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70" name="Picture 3544" descr="spacer">
          <a:extLst>
            <a:ext uri="{FF2B5EF4-FFF2-40B4-BE49-F238E27FC236}">
              <a16:creationId xmlns:a16="http://schemas.microsoft.com/office/drawing/2014/main" id="{93BC44A0-58C6-4AB4-8BB8-AFCB43C2E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71" name="Picture 3545" descr="spacer">
          <a:extLst>
            <a:ext uri="{FF2B5EF4-FFF2-40B4-BE49-F238E27FC236}">
              <a16:creationId xmlns:a16="http://schemas.microsoft.com/office/drawing/2014/main" id="{34F7BBDF-A7B5-4427-A5BE-847DB1C3C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72" name="Picture 3546" descr="spacer">
          <a:extLst>
            <a:ext uri="{FF2B5EF4-FFF2-40B4-BE49-F238E27FC236}">
              <a16:creationId xmlns:a16="http://schemas.microsoft.com/office/drawing/2014/main" id="{503DC78C-6A06-4A9A-8DD9-9133939B8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73" name="Picture 3547" descr="spacer">
          <a:extLst>
            <a:ext uri="{FF2B5EF4-FFF2-40B4-BE49-F238E27FC236}">
              <a16:creationId xmlns:a16="http://schemas.microsoft.com/office/drawing/2014/main" id="{EB55DC05-807D-420A-8714-905BF69E4B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74" name="Picture 3548" descr="spacer">
          <a:extLst>
            <a:ext uri="{FF2B5EF4-FFF2-40B4-BE49-F238E27FC236}">
              <a16:creationId xmlns:a16="http://schemas.microsoft.com/office/drawing/2014/main" id="{8A5201B8-6CB8-4A18-915B-419B9DE37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75" name="Picture 3549" descr="spacer">
          <a:extLst>
            <a:ext uri="{FF2B5EF4-FFF2-40B4-BE49-F238E27FC236}">
              <a16:creationId xmlns:a16="http://schemas.microsoft.com/office/drawing/2014/main" id="{0AF6AD3B-D52F-4CE5-856A-CB6A8CEEB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76" name="Picture 3550" descr="spacer">
          <a:extLst>
            <a:ext uri="{FF2B5EF4-FFF2-40B4-BE49-F238E27FC236}">
              <a16:creationId xmlns:a16="http://schemas.microsoft.com/office/drawing/2014/main" id="{C97F9585-562F-4290-9D7A-A48A77179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77" name="Picture 3551" descr="spacer">
          <a:extLst>
            <a:ext uri="{FF2B5EF4-FFF2-40B4-BE49-F238E27FC236}">
              <a16:creationId xmlns:a16="http://schemas.microsoft.com/office/drawing/2014/main" id="{8ED0B9ED-75B0-41D0-AF3A-01F0212A1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19050</xdr:colOff>
      <xdr:row>3</xdr:row>
      <xdr:rowOff>19050</xdr:rowOff>
    </xdr:to>
    <xdr:pic>
      <xdr:nvPicPr>
        <xdr:cNvPr id="3278" name="Picture 3554" descr="spacer">
          <a:extLst>
            <a:ext uri="{FF2B5EF4-FFF2-40B4-BE49-F238E27FC236}">
              <a16:creationId xmlns:a16="http://schemas.microsoft.com/office/drawing/2014/main" id="{7FDD77B5-0E10-494B-AE86-23F2797ED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19050" cy="19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79" name="Picture 3556" descr="spacer">
          <a:extLst>
            <a:ext uri="{FF2B5EF4-FFF2-40B4-BE49-F238E27FC236}">
              <a16:creationId xmlns:a16="http://schemas.microsoft.com/office/drawing/2014/main" id="{C7F73444-EF90-463D-A361-0D4BE2E93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80" name="Picture 3557" descr="spacer">
          <a:extLst>
            <a:ext uri="{FF2B5EF4-FFF2-40B4-BE49-F238E27FC236}">
              <a16:creationId xmlns:a16="http://schemas.microsoft.com/office/drawing/2014/main" id="{47947A81-1259-4455-9455-9AEEB992E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81" name="Picture 3558" descr="spacer">
          <a:extLst>
            <a:ext uri="{FF2B5EF4-FFF2-40B4-BE49-F238E27FC236}">
              <a16:creationId xmlns:a16="http://schemas.microsoft.com/office/drawing/2014/main" id="{C23539CF-ADA5-49B5-96D4-6D76DFA21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82" name="Picture 3559" descr="spacer">
          <a:extLst>
            <a:ext uri="{FF2B5EF4-FFF2-40B4-BE49-F238E27FC236}">
              <a16:creationId xmlns:a16="http://schemas.microsoft.com/office/drawing/2014/main" id="{21AC2439-18DF-40D5-A550-557D62FF7E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83" name="Picture 3560" descr="spacer">
          <a:extLst>
            <a:ext uri="{FF2B5EF4-FFF2-40B4-BE49-F238E27FC236}">
              <a16:creationId xmlns:a16="http://schemas.microsoft.com/office/drawing/2014/main" id="{C1CCB71B-CA76-46DA-9F3A-626537533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84" name="Picture 3561" descr="spacer">
          <a:extLst>
            <a:ext uri="{FF2B5EF4-FFF2-40B4-BE49-F238E27FC236}">
              <a16:creationId xmlns:a16="http://schemas.microsoft.com/office/drawing/2014/main" id="{36490A28-8F0E-42AA-B361-112BEEC68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85" name="Picture 3562" descr="spacer">
          <a:extLst>
            <a:ext uri="{FF2B5EF4-FFF2-40B4-BE49-F238E27FC236}">
              <a16:creationId xmlns:a16="http://schemas.microsoft.com/office/drawing/2014/main" id="{D973241E-DEA1-4F34-9D51-B8E1159B6E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86" name="Picture 3563" descr="spacer">
          <a:extLst>
            <a:ext uri="{FF2B5EF4-FFF2-40B4-BE49-F238E27FC236}">
              <a16:creationId xmlns:a16="http://schemas.microsoft.com/office/drawing/2014/main" id="{8914DB55-516F-460C-9C7F-6C38E761E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87" name="Picture 3564" descr="spacer">
          <a:extLst>
            <a:ext uri="{FF2B5EF4-FFF2-40B4-BE49-F238E27FC236}">
              <a16:creationId xmlns:a16="http://schemas.microsoft.com/office/drawing/2014/main" id="{5A1C3D63-CEEA-48AE-96D5-C6F3F485E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88" name="Picture 3565" descr="spacer">
          <a:extLst>
            <a:ext uri="{FF2B5EF4-FFF2-40B4-BE49-F238E27FC236}">
              <a16:creationId xmlns:a16="http://schemas.microsoft.com/office/drawing/2014/main" id="{00A7A4B1-137C-4B56-92F3-36FDEA097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89" name="Picture 3566" descr="spacer">
          <a:extLst>
            <a:ext uri="{FF2B5EF4-FFF2-40B4-BE49-F238E27FC236}">
              <a16:creationId xmlns:a16="http://schemas.microsoft.com/office/drawing/2014/main" id="{73FD5AD5-AE99-4366-AD79-43B5668F3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90" name="Picture 3567" descr="spacer">
          <a:extLst>
            <a:ext uri="{FF2B5EF4-FFF2-40B4-BE49-F238E27FC236}">
              <a16:creationId xmlns:a16="http://schemas.microsoft.com/office/drawing/2014/main" id="{6321CDCE-F0A1-4EA3-9569-CEA7EC82F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9525</xdr:colOff>
      <xdr:row>3</xdr:row>
      <xdr:rowOff>9525</xdr:rowOff>
    </xdr:to>
    <xdr:pic>
      <xdr:nvPicPr>
        <xdr:cNvPr id="3291" name="Picture 3568" descr="spacer">
          <a:extLst>
            <a:ext uri="{FF2B5EF4-FFF2-40B4-BE49-F238E27FC236}">
              <a16:creationId xmlns:a16="http://schemas.microsoft.com/office/drawing/2014/main" id="{D9F436A9-BA48-4AE7-838E-9FE7563C9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7620" y="0"/>
          <a:ext cx="9525" cy="9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47625</xdr:colOff>
      <xdr:row>4</xdr:row>
      <xdr:rowOff>57150</xdr:rowOff>
    </xdr:from>
    <xdr:to>
      <xdr:col>11</xdr:col>
      <xdr:colOff>552450</xdr:colOff>
      <xdr:row>21</xdr:row>
      <xdr:rowOff>38100</xdr:rowOff>
    </xdr:to>
    <xdr:graphicFrame macro="">
      <xdr:nvGraphicFramePr>
        <xdr:cNvPr id="1032" name="Chart 1">
          <a:extLst>
            <a:ext uri="{FF2B5EF4-FFF2-40B4-BE49-F238E27FC236}">
              <a16:creationId xmlns:a16="http://schemas.microsoft.com/office/drawing/2014/main" id="{00000000-0008-0000-0200-000008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57150</xdr:colOff>
      <xdr:row>21</xdr:row>
      <xdr:rowOff>133350</xdr:rowOff>
    </xdr:from>
    <xdr:to>
      <xdr:col>11</xdr:col>
      <xdr:colOff>561975</xdr:colOff>
      <xdr:row>40</xdr:row>
      <xdr:rowOff>28575</xdr:rowOff>
    </xdr:to>
    <xdr:graphicFrame macro="">
      <xdr:nvGraphicFramePr>
        <xdr:cNvPr id="1033" name="Chart 3">
          <a:extLst>
            <a:ext uri="{FF2B5EF4-FFF2-40B4-BE49-F238E27FC236}">
              <a16:creationId xmlns:a16="http://schemas.microsoft.com/office/drawing/2014/main" id="{00000000-0008-0000-0200-00000904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83820</xdr:colOff>
          <xdr:row>13</xdr:row>
          <xdr:rowOff>38100</xdr:rowOff>
        </xdr:from>
        <xdr:to>
          <xdr:col>17</xdr:col>
          <xdr:colOff>99060</xdr:colOff>
          <xdr:row>14</xdr:row>
          <xdr:rowOff>99060</xdr:rowOff>
        </xdr:to>
        <xdr:sp macro="" textlink="">
          <xdr:nvSpPr>
            <xdr:cNvPr id="1026" name="Drop Dow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2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1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04"/>
  <sheetViews>
    <sheetView showGridLines="0" tabSelected="1" topLeftCell="A142" zoomScale="80" zoomScaleNormal="80" workbookViewId="0">
      <selection activeCell="S152" sqref="S152"/>
    </sheetView>
  </sheetViews>
  <sheetFormatPr defaultRowHeight="13.2" x14ac:dyDescent="0.25"/>
  <cols>
    <col min="1" max="1" width="5.44140625" customWidth="1"/>
    <col min="2" max="2" width="8.88671875" customWidth="1"/>
    <col min="3" max="3" width="2.88671875" style="8" customWidth="1"/>
    <col min="4" max="4" width="8" customWidth="1"/>
    <col min="5" max="5" width="10.6640625" customWidth="1"/>
    <col min="6" max="6" width="9.6640625" customWidth="1"/>
    <col min="7" max="13" width="8" customWidth="1"/>
    <col min="14" max="20" width="9" customWidth="1"/>
    <col min="21" max="21" width="2.5546875" hidden="1" customWidth="1"/>
    <col min="22" max="25" width="12" hidden="1" customWidth="1"/>
    <col min="26" max="27" width="5.109375" hidden="1" customWidth="1"/>
    <col min="28" max="28" width="5.33203125" hidden="1" customWidth="1"/>
    <col min="29" max="30" width="2" hidden="1" customWidth="1"/>
    <col min="31" max="40" width="3" hidden="1" customWidth="1"/>
    <col min="41" max="41" width="9" customWidth="1"/>
  </cols>
  <sheetData>
    <row r="1" spans="1:40" ht="15.6" x14ac:dyDescent="0.3">
      <c r="A1" s="41" t="s">
        <v>0</v>
      </c>
      <c r="C1" s="2"/>
      <c r="F1" s="3" t="s">
        <v>56</v>
      </c>
      <c r="G1" s="4"/>
      <c r="H1" s="5"/>
      <c r="I1" s="6"/>
      <c r="U1" s="21" t="s">
        <v>63</v>
      </c>
      <c r="V1">
        <f ca="1">IF(V2&lt;=k,INDEX(LINEST(OFFSET(V5,0,0,n,1),OFFSET(W5,0,0,n,k-1),1,1),3,1),"")</f>
        <v>0.52253957032607501</v>
      </c>
      <c r="W1">
        <f t="shared" ref="W1:AC1" ca="1" si="0">IF(W2&lt;=k,INDEX(LINEST(OFFSET(W5,0,0,n,1),OFFSET(X5,0,0,n,k-1),1,1),3,1),"")</f>
        <v>3.1682568027916413E-2</v>
      </c>
      <c r="X1">
        <f t="shared" ca="1" si="0"/>
        <v>0.56335889574531484</v>
      </c>
      <c r="Y1">
        <f t="shared" ca="1" si="0"/>
        <v>0.12691771748170969</v>
      </c>
      <c r="Z1">
        <f t="shared" ca="1" si="0"/>
        <v>4.9241455366199609E-2</v>
      </c>
      <c r="AA1">
        <f t="shared" ca="1" si="0"/>
        <v>2.317797271247073E-2</v>
      </c>
      <c r="AB1" t="str">
        <f t="shared" ca="1" si="0"/>
        <v/>
      </c>
      <c r="AC1" t="str">
        <f t="shared" ca="1" si="0"/>
        <v/>
      </c>
      <c r="AD1" t="str">
        <f t="shared" ref="AD1:AM1" ca="1" si="1">IF(AD2&lt;=k,INDEX(LINEST(OFFSET(AD5,0,0,n,1),OFFSET(AE5,0,0,n,k-1),1,1),3,1),"")</f>
        <v/>
      </c>
      <c r="AE1" t="str">
        <f t="shared" ca="1" si="1"/>
        <v/>
      </c>
      <c r="AF1" t="str">
        <f t="shared" ca="1" si="1"/>
        <v/>
      </c>
      <c r="AG1" t="str">
        <f t="shared" ca="1" si="1"/>
        <v/>
      </c>
      <c r="AH1" t="str">
        <f t="shared" ca="1" si="1"/>
        <v/>
      </c>
      <c r="AI1" t="str">
        <f t="shared" ca="1" si="1"/>
        <v/>
      </c>
      <c r="AJ1" t="str">
        <f t="shared" ca="1" si="1"/>
        <v/>
      </c>
      <c r="AK1" t="str">
        <f t="shared" ca="1" si="1"/>
        <v/>
      </c>
      <c r="AL1" t="str">
        <f t="shared" ca="1" si="1"/>
        <v/>
      </c>
      <c r="AM1" t="str">
        <f t="shared" ca="1" si="1"/>
        <v/>
      </c>
      <c r="AN1" t="str">
        <f ca="1">IF(AN2&lt;=k,INDEX(LINEST(OFFSET(AN5,0,0,n,1),OFFSET(#REF!,0,0,n,k-1),1,1),3,1),"")</f>
        <v/>
      </c>
    </row>
    <row r="2" spans="1:40" ht="12.75" customHeight="1" x14ac:dyDescent="0.3">
      <c r="B2" s="1"/>
      <c r="C2" s="2"/>
      <c r="V2" s="85">
        <v>1</v>
      </c>
      <c r="W2" s="85">
        <v>2</v>
      </c>
      <c r="X2" s="85">
        <v>3</v>
      </c>
      <c r="Y2" s="85">
        <v>4</v>
      </c>
      <c r="Z2" s="85">
        <v>5</v>
      </c>
      <c r="AA2" s="85">
        <v>6</v>
      </c>
      <c r="AB2" s="85">
        <v>7</v>
      </c>
      <c r="AC2" s="85">
        <v>8</v>
      </c>
      <c r="AD2" s="85">
        <v>9</v>
      </c>
      <c r="AE2" s="85">
        <v>10</v>
      </c>
      <c r="AF2" s="85">
        <v>11</v>
      </c>
      <c r="AG2" s="85">
        <v>12</v>
      </c>
      <c r="AH2" s="85">
        <v>13</v>
      </c>
      <c r="AI2" s="85">
        <v>14</v>
      </c>
      <c r="AJ2" s="85">
        <v>15</v>
      </c>
      <c r="AK2" s="85">
        <v>16</v>
      </c>
      <c r="AL2" s="85">
        <v>17</v>
      </c>
      <c r="AM2" s="85">
        <v>18</v>
      </c>
      <c r="AN2" s="85">
        <v>19</v>
      </c>
    </row>
    <row r="3" spans="1:40" ht="13.8" thickBot="1" x14ac:dyDescent="0.3">
      <c r="B3" s="53" t="s">
        <v>1</v>
      </c>
      <c r="C3" s="40">
        <v>1</v>
      </c>
      <c r="D3" s="9" t="s">
        <v>2</v>
      </c>
      <c r="E3" s="9" t="s">
        <v>3</v>
      </c>
      <c r="F3" s="9" t="s">
        <v>4</v>
      </c>
      <c r="G3" s="9" t="s">
        <v>5</v>
      </c>
      <c r="H3" s="9" t="s">
        <v>6</v>
      </c>
      <c r="I3" s="9" t="s">
        <v>7</v>
      </c>
      <c r="J3" s="9" t="s">
        <v>8</v>
      </c>
      <c r="K3" s="9" t="s">
        <v>9</v>
      </c>
      <c r="L3" s="9" t="s">
        <v>10</v>
      </c>
      <c r="M3" s="9" t="s">
        <v>11</v>
      </c>
      <c r="V3" s="85">
        <v>1</v>
      </c>
      <c r="W3" s="85">
        <f ca="1">IF(W2&lt;=k,W2,IF(W2&lt;2*k,W2-k,""))</f>
        <v>2</v>
      </c>
      <c r="X3" s="85">
        <f t="shared" ref="X3:AN3" ca="1" si="2">IF(X2&lt;=k,X2,IF(X2&lt;2*k,X2-k,""))</f>
        <v>3</v>
      </c>
      <c r="Y3" s="85">
        <f t="shared" ca="1" si="2"/>
        <v>4</v>
      </c>
      <c r="Z3" s="85">
        <f t="shared" ca="1" si="2"/>
        <v>5</v>
      </c>
      <c r="AA3" s="85">
        <f t="shared" ca="1" si="2"/>
        <v>6</v>
      </c>
      <c r="AB3" s="85">
        <f t="shared" ca="1" si="2"/>
        <v>1</v>
      </c>
      <c r="AC3" s="85">
        <f t="shared" ca="1" si="2"/>
        <v>2</v>
      </c>
      <c r="AD3" s="85">
        <f t="shared" ca="1" si="2"/>
        <v>3</v>
      </c>
      <c r="AE3" s="85">
        <f t="shared" ca="1" si="2"/>
        <v>4</v>
      </c>
      <c r="AF3" s="85">
        <f t="shared" ca="1" si="2"/>
        <v>5</v>
      </c>
      <c r="AG3" s="85" t="str">
        <f t="shared" ca="1" si="2"/>
        <v/>
      </c>
      <c r="AH3" s="85" t="str">
        <f t="shared" ca="1" si="2"/>
        <v/>
      </c>
      <c r="AI3" s="85" t="str">
        <f t="shared" ca="1" si="2"/>
        <v/>
      </c>
      <c r="AJ3" s="85" t="str">
        <f t="shared" ca="1" si="2"/>
        <v/>
      </c>
      <c r="AK3" s="85" t="str">
        <f t="shared" ca="1" si="2"/>
        <v/>
      </c>
      <c r="AL3" s="85" t="str">
        <f t="shared" ca="1" si="2"/>
        <v/>
      </c>
      <c r="AM3" s="85" t="str">
        <f t="shared" ca="1" si="2"/>
        <v/>
      </c>
      <c r="AN3" s="85" t="str">
        <f t="shared" ca="1" si="2"/>
        <v/>
      </c>
    </row>
    <row r="4" spans="1:40" s="12" customFormat="1" ht="27" thickBot="1" x14ac:dyDescent="0.3">
      <c r="A4" t="s">
        <v>48</v>
      </c>
      <c r="B4" s="96" t="s">
        <v>65</v>
      </c>
      <c r="C4" s="10" t="s">
        <v>12</v>
      </c>
      <c r="D4" s="98" t="s">
        <v>66</v>
      </c>
      <c r="E4" s="98" t="s">
        <v>67</v>
      </c>
      <c r="F4" s="98" t="s">
        <v>68</v>
      </c>
      <c r="G4" s="98" t="s">
        <v>69</v>
      </c>
      <c r="H4" s="98" t="s">
        <v>70</v>
      </c>
      <c r="I4" s="98" t="s">
        <v>71</v>
      </c>
      <c r="J4" s="11"/>
      <c r="K4" s="11"/>
      <c r="L4" s="11"/>
      <c r="M4" s="11"/>
      <c r="V4" s="12" t="str">
        <f t="array" aca="1" ref="V4:V204" ca="1">IF(V3&lt;&gt;"",OFFSET($C$4,0,V3,n+1,k),"")</f>
        <v>Age_08_04</v>
      </c>
      <c r="W4" s="12" t="str">
        <f t="array" aca="1" ref="W4:W204" ca="1">IF(W3&lt;&gt;"",OFFSET($C$4,0,W3,n+1,k),"")</f>
        <v>Mfg_Month</v>
      </c>
      <c r="X4" s="12" t="str">
        <f t="array" aca="1" ref="X4:X204" ca="1">IF(X3&lt;&gt;"",OFFSET($C$4,0,X3,n+1,k),"")</f>
        <v>KM</v>
      </c>
      <c r="Y4" s="12" t="str">
        <f t="array" aca="1" ref="Y4:Y204" ca="1">IF(Y3&lt;&gt;"",OFFSET($C$4,0,Y3,n+1,k),"")</f>
        <v>HP</v>
      </c>
      <c r="Z4" s="12" t="str">
        <f t="array" aca="1" ref="Z4:Z204" ca="1">IF(Z3&lt;&gt;"",OFFSET($C$4,0,Z3,n+1,k),"")</f>
        <v>Met_Color</v>
      </c>
      <c r="AA4" s="12" t="str">
        <f t="array" aca="1" ref="AA4:AA204" ca="1">IF(AA3&lt;&gt;"",OFFSET($C$4,0,AA3,n+1,k),"")</f>
        <v>Automatic</v>
      </c>
      <c r="AB4" s="12" t="str">
        <f t="array" aca="1" ref="AB4:AB204" ca="1">IF(AB3&lt;&gt;"",OFFSET($C$4,0,AB3,n+1,k),"")</f>
        <v>Age_08_04</v>
      </c>
      <c r="AC4" s="12" t="str">
        <f t="array" aca="1" ref="AC4:AC204" ca="1">IF(AC3&lt;&gt;"",OFFSET($C$4,0,AC3,n+1,k),"")</f>
        <v>Mfg_Month</v>
      </c>
      <c r="AD4" s="12" t="str">
        <f t="array" aca="1" ref="AD4:AD204" ca="1">IF(AD3&lt;&gt;"",OFFSET($C$4,0,AD3,n+1,k),"")</f>
        <v>KM</v>
      </c>
      <c r="AE4" s="12" t="str">
        <f t="array" aca="1" ref="AE4:AE204" ca="1">IF(AE3&lt;&gt;"",OFFSET($C$4,0,AE3,n+1,k),"")</f>
        <v>HP</v>
      </c>
      <c r="AF4" s="12" t="str">
        <f t="array" aca="1" ref="AF4:AF204" ca="1">IF(AF3&lt;&gt;"",OFFSET($C$4,0,AF3,n+1,k),"")</f>
        <v>Met_Color</v>
      </c>
      <c r="AG4" s="12" t="str">
        <f t="array" aca="1" ref="AG4:AG204" ca="1">IF(AG3&lt;&gt;"",OFFSET($C$4,0,AG3,n+1,k),"")</f>
        <v/>
      </c>
      <c r="AH4" s="12" t="str">
        <f t="array" aca="1" ref="AH4:AH204" ca="1">IF(AH3&lt;&gt;"",OFFSET($C$4,0,AH3,n+1,k),"")</f>
        <v/>
      </c>
      <c r="AI4" s="12" t="str">
        <f t="array" aca="1" ref="AI4:AI204" ca="1">IF(AI3&lt;&gt;"",OFFSET($C$4,0,AI3,n+1,k),"")</f>
        <v/>
      </c>
      <c r="AJ4" s="12" t="str">
        <f t="array" aca="1" ref="AJ4:AJ204" ca="1">IF(AJ3&lt;&gt;"",OFFSET($C$4,0,AJ3,n+1,k),"")</f>
        <v/>
      </c>
      <c r="AK4" s="12" t="str">
        <f t="array" aca="1" ref="AK4:AK204" ca="1">IF(AK3&lt;&gt;"",OFFSET($C$4,0,AK3,n+1,k),"")</f>
        <v/>
      </c>
      <c r="AL4" s="12" t="str">
        <f t="array" aca="1" ref="AL4:AL204" ca="1">IF(AL3&lt;&gt;"",OFFSET($C$4,0,AL3,n+1,k),"")</f>
        <v/>
      </c>
      <c r="AM4" s="12" t="str">
        <f t="array" aca="1" ref="AM4:AM204" ca="1">IF(AM3&lt;&gt;"",OFFSET($C$4,0,AM3,n+1,k),"")</f>
        <v/>
      </c>
      <c r="AN4" s="12" t="str">
        <f t="array" aca="1" ref="AN4:AN204" ca="1">IF(AN3&lt;&gt;"",OFFSET($C$4,0,AN3,n+1,k),"")</f>
        <v/>
      </c>
    </row>
    <row r="5" spans="1:40" x14ac:dyDescent="0.25">
      <c r="A5" s="14">
        <v>1</v>
      </c>
      <c r="B5" s="97">
        <v>13500</v>
      </c>
      <c r="C5" s="39">
        <f>IF(B5&lt;&gt;"",1,"")</f>
        <v>1</v>
      </c>
      <c r="D5" s="97">
        <v>23</v>
      </c>
      <c r="E5" s="97">
        <v>10</v>
      </c>
      <c r="F5" s="98">
        <v>46986</v>
      </c>
      <c r="G5" s="98">
        <v>90</v>
      </c>
      <c r="H5" s="98">
        <v>1</v>
      </c>
      <c r="I5" s="98">
        <v>0</v>
      </c>
      <c r="J5" s="13"/>
      <c r="K5" s="13"/>
      <c r="L5" s="13"/>
      <c r="M5" s="13"/>
      <c r="V5">
        <f ca="1"/>
        <v>23</v>
      </c>
      <c r="W5">
        <f ca="1"/>
        <v>10</v>
      </c>
      <c r="X5">
        <f ca="1"/>
        <v>46986</v>
      </c>
      <c r="Y5">
        <f ca="1"/>
        <v>90</v>
      </c>
      <c r="Z5">
        <f ca="1"/>
        <v>1</v>
      </c>
      <c r="AA5">
        <f ca="1"/>
        <v>0</v>
      </c>
      <c r="AB5">
        <f ca="1"/>
        <v>23</v>
      </c>
      <c r="AC5">
        <f ca="1"/>
        <v>10</v>
      </c>
      <c r="AD5">
        <f ca="1"/>
        <v>46986</v>
      </c>
      <c r="AE5">
        <f ca="1"/>
        <v>90</v>
      </c>
      <c r="AF5">
        <f ca="1"/>
        <v>1</v>
      </c>
      <c r="AG5" t="str">
        <f ca="1"/>
        <v/>
      </c>
      <c r="AH5" t="str">
        <f ca="1"/>
        <v/>
      </c>
      <c r="AI5" t="str">
        <f ca="1"/>
        <v/>
      </c>
      <c r="AJ5" t="str">
        <f ca="1"/>
        <v/>
      </c>
      <c r="AK5" t="str">
        <f ca="1"/>
        <v/>
      </c>
      <c r="AL5" t="str">
        <f ca="1"/>
        <v/>
      </c>
      <c r="AM5" t="str">
        <f ca="1"/>
        <v/>
      </c>
      <c r="AN5" t="str">
        <f ca="1"/>
        <v/>
      </c>
    </row>
    <row r="6" spans="1:40" x14ac:dyDescent="0.25">
      <c r="A6" s="14">
        <f>IF(B6&lt;&gt;"",1+A5,"")</f>
        <v>2</v>
      </c>
      <c r="B6" s="97">
        <v>13750</v>
      </c>
      <c r="C6" s="39">
        <f t="shared" ref="C6:C69" si="3">IF(B6&lt;&gt;"",1,"")</f>
        <v>1</v>
      </c>
      <c r="D6" s="97">
        <v>23</v>
      </c>
      <c r="E6" s="97">
        <v>10</v>
      </c>
      <c r="F6" s="98">
        <v>72937</v>
      </c>
      <c r="G6" s="98">
        <v>90</v>
      </c>
      <c r="H6" s="98">
        <v>1</v>
      </c>
      <c r="I6" s="98">
        <v>0</v>
      </c>
      <c r="J6" s="13"/>
      <c r="K6" s="13"/>
      <c r="L6" s="13"/>
      <c r="M6" s="13"/>
      <c r="V6">
        <f ca="1"/>
        <v>23</v>
      </c>
      <c r="W6">
        <f ca="1"/>
        <v>10</v>
      </c>
      <c r="X6">
        <f ca="1"/>
        <v>72937</v>
      </c>
      <c r="Y6">
        <f ca="1"/>
        <v>90</v>
      </c>
      <c r="Z6">
        <f ca="1"/>
        <v>1</v>
      </c>
      <c r="AA6">
        <f ca="1"/>
        <v>0</v>
      </c>
      <c r="AB6">
        <f ca="1"/>
        <v>23</v>
      </c>
      <c r="AC6">
        <f ca="1"/>
        <v>10</v>
      </c>
      <c r="AD6">
        <f ca="1"/>
        <v>72937</v>
      </c>
      <c r="AE6">
        <f ca="1"/>
        <v>90</v>
      </c>
      <c r="AF6">
        <f ca="1"/>
        <v>1</v>
      </c>
      <c r="AG6" t="str">
        <f ca="1"/>
        <v/>
      </c>
      <c r="AH6" t="str">
        <f ca="1"/>
        <v/>
      </c>
      <c r="AI6" t="str">
        <f ca="1"/>
        <v/>
      </c>
      <c r="AJ6" t="str">
        <f ca="1"/>
        <v/>
      </c>
      <c r="AK6" t="str">
        <f ca="1"/>
        <v/>
      </c>
      <c r="AL6" t="str">
        <f ca="1"/>
        <v/>
      </c>
      <c r="AM6" t="str">
        <f ca="1"/>
        <v/>
      </c>
      <c r="AN6" t="str">
        <f ca="1"/>
        <v/>
      </c>
    </row>
    <row r="7" spans="1:40" x14ac:dyDescent="0.25">
      <c r="A7" s="14">
        <f t="shared" ref="A7:A70" si="4">IF(B7&lt;&gt;"",1+A6,"")</f>
        <v>3</v>
      </c>
      <c r="B7" s="97">
        <v>13950</v>
      </c>
      <c r="C7" s="39">
        <f t="shared" si="3"/>
        <v>1</v>
      </c>
      <c r="D7" s="97">
        <v>24</v>
      </c>
      <c r="E7" s="97">
        <v>9</v>
      </c>
      <c r="F7" s="98">
        <v>41711</v>
      </c>
      <c r="G7" s="98">
        <v>90</v>
      </c>
      <c r="H7" s="98">
        <v>1</v>
      </c>
      <c r="I7" s="98">
        <v>0</v>
      </c>
      <c r="J7" s="13"/>
      <c r="K7" s="13"/>
      <c r="L7" s="13"/>
      <c r="M7" s="13"/>
      <c r="V7">
        <f ca="1"/>
        <v>24</v>
      </c>
      <c r="W7">
        <f ca="1"/>
        <v>9</v>
      </c>
      <c r="X7">
        <f ca="1"/>
        <v>41711</v>
      </c>
      <c r="Y7">
        <f ca="1"/>
        <v>90</v>
      </c>
      <c r="Z7">
        <f ca="1"/>
        <v>1</v>
      </c>
      <c r="AA7">
        <f ca="1"/>
        <v>0</v>
      </c>
      <c r="AB7">
        <f ca="1"/>
        <v>24</v>
      </c>
      <c r="AC7">
        <f ca="1"/>
        <v>9</v>
      </c>
      <c r="AD7">
        <f ca="1"/>
        <v>41711</v>
      </c>
      <c r="AE7">
        <f ca="1"/>
        <v>90</v>
      </c>
      <c r="AF7">
        <f ca="1"/>
        <v>1</v>
      </c>
      <c r="AG7" t="str">
        <f ca="1"/>
        <v/>
      </c>
      <c r="AH7" t="str">
        <f ca="1"/>
        <v/>
      </c>
      <c r="AI7" t="str">
        <f ca="1"/>
        <v/>
      </c>
      <c r="AJ7" t="str">
        <f ca="1"/>
        <v/>
      </c>
      <c r="AK7" t="str">
        <f ca="1"/>
        <v/>
      </c>
      <c r="AL7" t="str">
        <f ca="1"/>
        <v/>
      </c>
      <c r="AM7" t="str">
        <f ca="1"/>
        <v/>
      </c>
      <c r="AN7" t="str">
        <f ca="1"/>
        <v/>
      </c>
    </row>
    <row r="8" spans="1:40" x14ac:dyDescent="0.25">
      <c r="A8" s="14">
        <f t="shared" si="4"/>
        <v>4</v>
      </c>
      <c r="B8" s="97">
        <v>14950</v>
      </c>
      <c r="C8" s="39">
        <f t="shared" si="3"/>
        <v>1</v>
      </c>
      <c r="D8" s="97">
        <v>26</v>
      </c>
      <c r="E8" s="97">
        <v>7</v>
      </c>
      <c r="F8" s="98">
        <v>48000</v>
      </c>
      <c r="G8" s="98">
        <v>90</v>
      </c>
      <c r="H8" s="98">
        <v>0</v>
      </c>
      <c r="I8" s="98">
        <v>0</v>
      </c>
      <c r="J8" s="13"/>
      <c r="K8" s="13"/>
      <c r="L8" s="13"/>
      <c r="M8" s="13"/>
      <c r="V8">
        <f ca="1"/>
        <v>26</v>
      </c>
      <c r="W8">
        <f ca="1"/>
        <v>7</v>
      </c>
      <c r="X8">
        <f ca="1"/>
        <v>48000</v>
      </c>
      <c r="Y8">
        <f ca="1"/>
        <v>90</v>
      </c>
      <c r="Z8">
        <f ca="1"/>
        <v>0</v>
      </c>
      <c r="AA8">
        <f ca="1"/>
        <v>0</v>
      </c>
      <c r="AB8">
        <f ca="1"/>
        <v>26</v>
      </c>
      <c r="AC8">
        <f ca="1"/>
        <v>7</v>
      </c>
      <c r="AD8">
        <f ca="1"/>
        <v>48000</v>
      </c>
      <c r="AE8">
        <f ca="1"/>
        <v>90</v>
      </c>
      <c r="AF8">
        <f ca="1"/>
        <v>0</v>
      </c>
      <c r="AG8" t="str">
        <f ca="1"/>
        <v/>
      </c>
      <c r="AH8" t="str">
        <f ca="1"/>
        <v/>
      </c>
      <c r="AI8" t="str">
        <f ca="1"/>
        <v/>
      </c>
      <c r="AJ8" t="str">
        <f ca="1"/>
        <v/>
      </c>
      <c r="AK8" t="str">
        <f ca="1"/>
        <v/>
      </c>
      <c r="AL8" t="str">
        <f ca="1"/>
        <v/>
      </c>
      <c r="AM8" t="str">
        <f ca="1"/>
        <v/>
      </c>
      <c r="AN8" t="str">
        <f ca="1"/>
        <v/>
      </c>
    </row>
    <row r="9" spans="1:40" x14ac:dyDescent="0.25">
      <c r="A9" s="14">
        <f t="shared" si="4"/>
        <v>5</v>
      </c>
      <c r="B9" s="97">
        <v>13750</v>
      </c>
      <c r="C9" s="39">
        <f t="shared" si="3"/>
        <v>1</v>
      </c>
      <c r="D9" s="97">
        <v>30</v>
      </c>
      <c r="E9" s="97">
        <v>3</v>
      </c>
      <c r="F9" s="98">
        <v>38500</v>
      </c>
      <c r="G9" s="98">
        <v>90</v>
      </c>
      <c r="H9" s="98">
        <v>0</v>
      </c>
      <c r="I9" s="98">
        <v>0</v>
      </c>
      <c r="J9" s="13"/>
      <c r="K9" s="13"/>
      <c r="L9" s="13"/>
      <c r="M9" s="13"/>
      <c r="V9">
        <f ca="1"/>
        <v>30</v>
      </c>
      <c r="W9">
        <f ca="1"/>
        <v>3</v>
      </c>
      <c r="X9">
        <f ca="1"/>
        <v>38500</v>
      </c>
      <c r="Y9">
        <f ca="1"/>
        <v>90</v>
      </c>
      <c r="Z9">
        <f ca="1"/>
        <v>0</v>
      </c>
      <c r="AA9">
        <f ca="1"/>
        <v>0</v>
      </c>
      <c r="AB9">
        <f ca="1"/>
        <v>30</v>
      </c>
      <c r="AC9">
        <f ca="1"/>
        <v>3</v>
      </c>
      <c r="AD9">
        <f ca="1"/>
        <v>38500</v>
      </c>
      <c r="AE9">
        <f ca="1"/>
        <v>90</v>
      </c>
      <c r="AF9">
        <f ca="1"/>
        <v>0</v>
      </c>
      <c r="AG9" t="str">
        <f ca="1"/>
        <v/>
      </c>
      <c r="AH9" t="str">
        <f ca="1"/>
        <v/>
      </c>
      <c r="AI9" t="str">
        <f ca="1"/>
        <v/>
      </c>
      <c r="AJ9" t="str">
        <f ca="1"/>
        <v/>
      </c>
      <c r="AK9" t="str">
        <f ca="1"/>
        <v/>
      </c>
      <c r="AL9" t="str">
        <f ca="1"/>
        <v/>
      </c>
      <c r="AM9" t="str">
        <f ca="1"/>
        <v/>
      </c>
      <c r="AN9" t="str">
        <f ca="1"/>
        <v/>
      </c>
    </row>
    <row r="10" spans="1:40" x14ac:dyDescent="0.25">
      <c r="A10" s="14">
        <f t="shared" si="4"/>
        <v>6</v>
      </c>
      <c r="B10" s="97">
        <v>12950</v>
      </c>
      <c r="C10" s="39">
        <f t="shared" si="3"/>
        <v>1</v>
      </c>
      <c r="D10" s="97">
        <v>32</v>
      </c>
      <c r="E10" s="97">
        <v>1</v>
      </c>
      <c r="F10" s="98">
        <v>61000</v>
      </c>
      <c r="G10" s="98">
        <v>90</v>
      </c>
      <c r="H10" s="98">
        <v>0</v>
      </c>
      <c r="I10" s="98">
        <v>0</v>
      </c>
      <c r="J10" s="13"/>
      <c r="K10" s="13"/>
      <c r="L10" s="13"/>
      <c r="M10" s="13"/>
      <c r="V10">
        <f ca="1"/>
        <v>32</v>
      </c>
      <c r="W10">
        <f ca="1"/>
        <v>1</v>
      </c>
      <c r="X10">
        <f ca="1"/>
        <v>61000</v>
      </c>
      <c r="Y10">
        <f ca="1"/>
        <v>90</v>
      </c>
      <c r="Z10">
        <f ca="1"/>
        <v>0</v>
      </c>
      <c r="AA10">
        <f ca="1"/>
        <v>0</v>
      </c>
      <c r="AB10">
        <f ca="1"/>
        <v>32</v>
      </c>
      <c r="AC10">
        <f ca="1"/>
        <v>1</v>
      </c>
      <c r="AD10">
        <f ca="1"/>
        <v>61000</v>
      </c>
      <c r="AE10">
        <f ca="1"/>
        <v>90</v>
      </c>
      <c r="AF10">
        <f ca="1"/>
        <v>0</v>
      </c>
      <c r="AG10" t="str">
        <f ca="1"/>
        <v/>
      </c>
      <c r="AH10" t="str">
        <f ca="1"/>
        <v/>
      </c>
      <c r="AI10" t="str">
        <f ca="1"/>
        <v/>
      </c>
      <c r="AJ10" t="str">
        <f ca="1"/>
        <v/>
      </c>
      <c r="AK10" t="str">
        <f ca="1"/>
        <v/>
      </c>
      <c r="AL10" t="str">
        <f ca="1"/>
        <v/>
      </c>
      <c r="AM10" t="str">
        <f ca="1"/>
        <v/>
      </c>
      <c r="AN10" t="str">
        <f ca="1"/>
        <v/>
      </c>
    </row>
    <row r="11" spans="1:40" x14ac:dyDescent="0.25">
      <c r="A11" s="14">
        <f t="shared" si="4"/>
        <v>7</v>
      </c>
      <c r="B11" s="97">
        <v>16900</v>
      </c>
      <c r="C11" s="39">
        <f t="shared" si="3"/>
        <v>1</v>
      </c>
      <c r="D11" s="97">
        <v>27</v>
      </c>
      <c r="E11" s="97">
        <v>6</v>
      </c>
      <c r="F11" s="98">
        <v>94612</v>
      </c>
      <c r="G11" s="98">
        <v>90</v>
      </c>
      <c r="H11" s="98">
        <v>1</v>
      </c>
      <c r="I11" s="98">
        <v>0</v>
      </c>
      <c r="J11" s="13"/>
      <c r="K11" s="13"/>
      <c r="L11" s="13"/>
      <c r="M11" s="13"/>
      <c r="V11">
        <f ca="1"/>
        <v>27</v>
      </c>
      <c r="W11">
        <f ca="1"/>
        <v>6</v>
      </c>
      <c r="X11">
        <f ca="1"/>
        <v>94612</v>
      </c>
      <c r="Y11">
        <f ca="1"/>
        <v>90</v>
      </c>
      <c r="Z11">
        <f ca="1"/>
        <v>1</v>
      </c>
      <c r="AA11">
        <f ca="1"/>
        <v>0</v>
      </c>
      <c r="AB11">
        <f ca="1"/>
        <v>27</v>
      </c>
      <c r="AC11">
        <f ca="1"/>
        <v>6</v>
      </c>
      <c r="AD11">
        <f ca="1"/>
        <v>94612</v>
      </c>
      <c r="AE11">
        <f ca="1"/>
        <v>90</v>
      </c>
      <c r="AF11">
        <f ca="1"/>
        <v>1</v>
      </c>
      <c r="AG11" t="str">
        <f ca="1"/>
        <v/>
      </c>
      <c r="AH11" t="str">
        <f ca="1"/>
        <v/>
      </c>
      <c r="AI11" t="str">
        <f ca="1"/>
        <v/>
      </c>
      <c r="AJ11" t="str">
        <f ca="1"/>
        <v/>
      </c>
      <c r="AK11" t="str">
        <f ca="1"/>
        <v/>
      </c>
      <c r="AL11" t="str">
        <f ca="1"/>
        <v/>
      </c>
      <c r="AM11" t="str">
        <f ca="1"/>
        <v/>
      </c>
      <c r="AN11" t="str">
        <f ca="1"/>
        <v/>
      </c>
    </row>
    <row r="12" spans="1:40" x14ac:dyDescent="0.25">
      <c r="A12" s="14">
        <f t="shared" si="4"/>
        <v>8</v>
      </c>
      <c r="B12" s="97">
        <v>18600</v>
      </c>
      <c r="C12" s="39">
        <f t="shared" si="3"/>
        <v>1</v>
      </c>
      <c r="D12" s="97">
        <v>30</v>
      </c>
      <c r="E12" s="97">
        <v>3</v>
      </c>
      <c r="F12" s="98">
        <v>75889</v>
      </c>
      <c r="G12" s="98">
        <v>90</v>
      </c>
      <c r="H12" s="98">
        <v>1</v>
      </c>
      <c r="I12" s="98">
        <v>0</v>
      </c>
      <c r="J12" s="13"/>
      <c r="K12" s="13"/>
      <c r="L12" s="13"/>
      <c r="M12" s="13"/>
      <c r="V12">
        <f ca="1"/>
        <v>30</v>
      </c>
      <c r="W12">
        <f ca="1"/>
        <v>3</v>
      </c>
      <c r="X12">
        <f ca="1"/>
        <v>75889</v>
      </c>
      <c r="Y12">
        <f ca="1"/>
        <v>90</v>
      </c>
      <c r="Z12">
        <f ca="1"/>
        <v>1</v>
      </c>
      <c r="AA12">
        <f ca="1"/>
        <v>0</v>
      </c>
      <c r="AB12">
        <f ca="1"/>
        <v>30</v>
      </c>
      <c r="AC12">
        <f ca="1"/>
        <v>3</v>
      </c>
      <c r="AD12">
        <f ca="1"/>
        <v>75889</v>
      </c>
      <c r="AE12">
        <f ca="1"/>
        <v>90</v>
      </c>
      <c r="AF12">
        <f ca="1"/>
        <v>1</v>
      </c>
      <c r="AG12" t="str">
        <f ca="1"/>
        <v/>
      </c>
      <c r="AH12" t="str">
        <f ca="1"/>
        <v/>
      </c>
      <c r="AI12" t="str">
        <f ca="1"/>
        <v/>
      </c>
      <c r="AJ12" t="str">
        <f ca="1"/>
        <v/>
      </c>
      <c r="AK12" t="str">
        <f ca="1"/>
        <v/>
      </c>
      <c r="AL12" t="str">
        <f ca="1"/>
        <v/>
      </c>
      <c r="AM12" t="str">
        <f ca="1"/>
        <v/>
      </c>
      <c r="AN12" t="str">
        <f ca="1"/>
        <v/>
      </c>
    </row>
    <row r="13" spans="1:40" x14ac:dyDescent="0.25">
      <c r="A13" s="14">
        <f t="shared" si="4"/>
        <v>9</v>
      </c>
      <c r="B13" s="97">
        <v>21500</v>
      </c>
      <c r="C13" s="39">
        <f t="shared" si="3"/>
        <v>1</v>
      </c>
      <c r="D13" s="97">
        <v>27</v>
      </c>
      <c r="E13" s="97">
        <v>6</v>
      </c>
      <c r="F13" s="98">
        <v>19700</v>
      </c>
      <c r="G13" s="98">
        <v>192</v>
      </c>
      <c r="H13" s="98">
        <v>0</v>
      </c>
      <c r="I13" s="98">
        <v>0</v>
      </c>
      <c r="J13" s="13"/>
      <c r="K13" s="13"/>
      <c r="L13" s="13"/>
      <c r="M13" s="13"/>
      <c r="V13">
        <f ca="1"/>
        <v>27</v>
      </c>
      <c r="W13">
        <f ca="1"/>
        <v>6</v>
      </c>
      <c r="X13">
        <f ca="1"/>
        <v>19700</v>
      </c>
      <c r="Y13">
        <f ca="1"/>
        <v>192</v>
      </c>
      <c r="Z13">
        <f ca="1"/>
        <v>0</v>
      </c>
      <c r="AA13">
        <f ca="1"/>
        <v>0</v>
      </c>
      <c r="AB13">
        <f ca="1"/>
        <v>27</v>
      </c>
      <c r="AC13">
        <f ca="1"/>
        <v>6</v>
      </c>
      <c r="AD13">
        <f ca="1"/>
        <v>19700</v>
      </c>
      <c r="AE13">
        <f ca="1"/>
        <v>192</v>
      </c>
      <c r="AF13">
        <f ca="1"/>
        <v>0</v>
      </c>
      <c r="AG13" t="str">
        <f ca="1"/>
        <v/>
      </c>
      <c r="AH13" t="str">
        <f ca="1"/>
        <v/>
      </c>
      <c r="AI13" t="str">
        <f ca="1"/>
        <v/>
      </c>
      <c r="AJ13" t="str">
        <f ca="1"/>
        <v/>
      </c>
      <c r="AK13" t="str">
        <f ca="1"/>
        <v/>
      </c>
      <c r="AL13" t="str">
        <f ca="1"/>
        <v/>
      </c>
      <c r="AM13" t="str">
        <f ca="1"/>
        <v/>
      </c>
      <c r="AN13" t="str">
        <f ca="1"/>
        <v/>
      </c>
    </row>
    <row r="14" spans="1:40" x14ac:dyDescent="0.25">
      <c r="A14" s="14">
        <f t="shared" si="4"/>
        <v>10</v>
      </c>
      <c r="B14" s="97">
        <v>12950</v>
      </c>
      <c r="C14" s="39">
        <f t="shared" si="3"/>
        <v>1</v>
      </c>
      <c r="D14" s="97">
        <v>23</v>
      </c>
      <c r="E14" s="97">
        <v>10</v>
      </c>
      <c r="F14" s="98">
        <v>71138</v>
      </c>
      <c r="G14" s="98">
        <v>69</v>
      </c>
      <c r="H14" s="98">
        <v>0</v>
      </c>
      <c r="I14" s="98">
        <v>0</v>
      </c>
      <c r="J14" s="13"/>
      <c r="K14" s="13"/>
      <c r="L14" s="13"/>
      <c r="M14" s="13"/>
      <c r="V14">
        <f ca="1"/>
        <v>23</v>
      </c>
      <c r="W14">
        <f ca="1"/>
        <v>10</v>
      </c>
      <c r="X14">
        <f ca="1"/>
        <v>71138</v>
      </c>
      <c r="Y14">
        <f ca="1"/>
        <v>69</v>
      </c>
      <c r="Z14">
        <f ca="1"/>
        <v>0</v>
      </c>
      <c r="AA14">
        <f ca="1"/>
        <v>0</v>
      </c>
      <c r="AB14">
        <f ca="1"/>
        <v>23</v>
      </c>
      <c r="AC14">
        <f ca="1"/>
        <v>10</v>
      </c>
      <c r="AD14">
        <f ca="1"/>
        <v>71138</v>
      </c>
      <c r="AE14">
        <f ca="1"/>
        <v>69</v>
      </c>
      <c r="AF14">
        <f ca="1"/>
        <v>0</v>
      </c>
      <c r="AG14" t="str">
        <f ca="1"/>
        <v/>
      </c>
      <c r="AH14" t="str">
        <f ca="1"/>
        <v/>
      </c>
      <c r="AI14" t="str">
        <f ca="1"/>
        <v/>
      </c>
      <c r="AJ14" t="str">
        <f ca="1"/>
        <v/>
      </c>
      <c r="AK14" t="str">
        <f ca="1"/>
        <v/>
      </c>
      <c r="AL14" t="str">
        <f ca="1"/>
        <v/>
      </c>
      <c r="AM14" t="str">
        <f ca="1"/>
        <v/>
      </c>
      <c r="AN14" t="str">
        <f ca="1"/>
        <v/>
      </c>
    </row>
    <row r="15" spans="1:40" x14ac:dyDescent="0.25">
      <c r="A15" s="14">
        <f t="shared" si="4"/>
        <v>11</v>
      </c>
      <c r="B15" s="97">
        <v>20950</v>
      </c>
      <c r="C15" s="39">
        <f t="shared" si="3"/>
        <v>1</v>
      </c>
      <c r="D15" s="97">
        <v>25</v>
      </c>
      <c r="E15" s="97">
        <v>8</v>
      </c>
      <c r="F15" s="98">
        <v>31461</v>
      </c>
      <c r="G15" s="98">
        <v>192</v>
      </c>
      <c r="H15" s="98">
        <v>0</v>
      </c>
      <c r="I15" s="98">
        <v>0</v>
      </c>
      <c r="J15" s="13"/>
      <c r="K15" s="13"/>
      <c r="L15" s="13"/>
      <c r="M15" s="13"/>
      <c r="V15">
        <f ca="1"/>
        <v>25</v>
      </c>
      <c r="W15">
        <f ca="1"/>
        <v>8</v>
      </c>
      <c r="X15">
        <f ca="1"/>
        <v>31461</v>
      </c>
      <c r="Y15">
        <f ca="1"/>
        <v>192</v>
      </c>
      <c r="Z15">
        <f ca="1"/>
        <v>0</v>
      </c>
      <c r="AA15">
        <f ca="1"/>
        <v>0</v>
      </c>
      <c r="AB15">
        <f ca="1"/>
        <v>25</v>
      </c>
      <c r="AC15">
        <f ca="1"/>
        <v>8</v>
      </c>
      <c r="AD15">
        <f ca="1"/>
        <v>31461</v>
      </c>
      <c r="AE15">
        <f ca="1"/>
        <v>192</v>
      </c>
      <c r="AF15">
        <f ca="1"/>
        <v>0</v>
      </c>
      <c r="AG15" t="str">
        <f ca="1"/>
        <v/>
      </c>
      <c r="AH15" t="str">
        <f ca="1"/>
        <v/>
      </c>
      <c r="AI15" t="str">
        <f ca="1"/>
        <v/>
      </c>
      <c r="AJ15" t="str">
        <f ca="1"/>
        <v/>
      </c>
      <c r="AK15" t="str">
        <f ca="1"/>
        <v/>
      </c>
      <c r="AL15" t="str">
        <f ca="1"/>
        <v/>
      </c>
      <c r="AM15" t="str">
        <f ca="1"/>
        <v/>
      </c>
      <c r="AN15" t="str">
        <f ca="1"/>
        <v/>
      </c>
    </row>
    <row r="16" spans="1:40" x14ac:dyDescent="0.25">
      <c r="A16" s="14">
        <f t="shared" si="4"/>
        <v>12</v>
      </c>
      <c r="B16" s="97">
        <v>19950</v>
      </c>
      <c r="C16" s="39">
        <f t="shared" si="3"/>
        <v>1</v>
      </c>
      <c r="D16" s="97">
        <v>22</v>
      </c>
      <c r="E16" s="97">
        <v>11</v>
      </c>
      <c r="F16" s="98">
        <v>43610</v>
      </c>
      <c r="G16" s="98">
        <v>192</v>
      </c>
      <c r="H16" s="98">
        <v>0</v>
      </c>
      <c r="I16" s="98">
        <v>0</v>
      </c>
      <c r="J16" s="13"/>
      <c r="K16" s="13"/>
      <c r="L16" s="13"/>
      <c r="M16" s="13"/>
      <c r="V16">
        <f ca="1"/>
        <v>22</v>
      </c>
      <c r="W16">
        <f ca="1"/>
        <v>11</v>
      </c>
      <c r="X16">
        <f ca="1"/>
        <v>43610</v>
      </c>
      <c r="Y16">
        <f ca="1"/>
        <v>192</v>
      </c>
      <c r="Z16">
        <f ca="1"/>
        <v>0</v>
      </c>
      <c r="AA16">
        <f ca="1"/>
        <v>0</v>
      </c>
      <c r="AB16">
        <f ca="1"/>
        <v>22</v>
      </c>
      <c r="AC16">
        <f ca="1"/>
        <v>11</v>
      </c>
      <c r="AD16">
        <f ca="1"/>
        <v>43610</v>
      </c>
      <c r="AE16">
        <f ca="1"/>
        <v>192</v>
      </c>
      <c r="AF16">
        <f ca="1"/>
        <v>0</v>
      </c>
      <c r="AG16" t="str">
        <f ca="1"/>
        <v/>
      </c>
      <c r="AH16" t="str">
        <f ca="1"/>
        <v/>
      </c>
      <c r="AI16" t="str">
        <f ca="1"/>
        <v/>
      </c>
      <c r="AJ16" t="str">
        <f ca="1"/>
        <v/>
      </c>
      <c r="AK16" t="str">
        <f ca="1"/>
        <v/>
      </c>
      <c r="AL16" t="str">
        <f ca="1"/>
        <v/>
      </c>
      <c r="AM16" t="str">
        <f ca="1"/>
        <v/>
      </c>
      <c r="AN16" t="str">
        <f ca="1"/>
        <v/>
      </c>
    </row>
    <row r="17" spans="1:40" x14ac:dyDescent="0.25">
      <c r="A17" s="14">
        <f t="shared" si="4"/>
        <v>13</v>
      </c>
      <c r="B17" s="97">
        <v>19600</v>
      </c>
      <c r="C17" s="39">
        <f t="shared" si="3"/>
        <v>1</v>
      </c>
      <c r="D17" s="97">
        <v>25</v>
      </c>
      <c r="E17" s="97">
        <v>8</v>
      </c>
      <c r="F17" s="98">
        <v>32189</v>
      </c>
      <c r="G17" s="98">
        <v>192</v>
      </c>
      <c r="H17" s="98">
        <v>0</v>
      </c>
      <c r="I17" s="98">
        <v>0</v>
      </c>
      <c r="J17" s="13"/>
      <c r="K17" s="13"/>
      <c r="L17" s="13"/>
      <c r="M17" s="13"/>
      <c r="V17">
        <f ca="1"/>
        <v>25</v>
      </c>
      <c r="W17">
        <f ca="1"/>
        <v>8</v>
      </c>
      <c r="X17">
        <f ca="1"/>
        <v>32189</v>
      </c>
      <c r="Y17">
        <f ca="1"/>
        <v>192</v>
      </c>
      <c r="Z17">
        <f ca="1"/>
        <v>0</v>
      </c>
      <c r="AA17">
        <f ca="1"/>
        <v>0</v>
      </c>
      <c r="AB17">
        <f ca="1"/>
        <v>25</v>
      </c>
      <c r="AC17">
        <f ca="1"/>
        <v>8</v>
      </c>
      <c r="AD17">
        <f ca="1"/>
        <v>32189</v>
      </c>
      <c r="AE17">
        <f ca="1"/>
        <v>192</v>
      </c>
      <c r="AF17">
        <f ca="1"/>
        <v>0</v>
      </c>
      <c r="AG17" t="str">
        <f ca="1"/>
        <v/>
      </c>
      <c r="AH17" t="str">
        <f ca="1"/>
        <v/>
      </c>
      <c r="AI17" t="str">
        <f ca="1"/>
        <v/>
      </c>
      <c r="AJ17" t="str">
        <f ca="1"/>
        <v/>
      </c>
      <c r="AK17" t="str">
        <f ca="1"/>
        <v/>
      </c>
      <c r="AL17" t="str">
        <f ca="1"/>
        <v/>
      </c>
      <c r="AM17" t="str">
        <f ca="1"/>
        <v/>
      </c>
      <c r="AN17" t="str">
        <f ca="1"/>
        <v/>
      </c>
    </row>
    <row r="18" spans="1:40" x14ac:dyDescent="0.25">
      <c r="A18" s="14">
        <f t="shared" si="4"/>
        <v>14</v>
      </c>
      <c r="B18" s="97">
        <v>21500</v>
      </c>
      <c r="C18" s="39">
        <f t="shared" si="3"/>
        <v>1</v>
      </c>
      <c r="D18" s="97">
        <v>31</v>
      </c>
      <c r="E18" s="97">
        <v>2</v>
      </c>
      <c r="F18" s="98">
        <v>23000</v>
      </c>
      <c r="G18" s="98">
        <v>192</v>
      </c>
      <c r="H18" s="98">
        <v>1</v>
      </c>
      <c r="I18" s="98">
        <v>0</v>
      </c>
      <c r="J18" s="13"/>
      <c r="K18" s="13"/>
      <c r="L18" s="13"/>
      <c r="M18" s="13"/>
      <c r="V18">
        <f ca="1"/>
        <v>31</v>
      </c>
      <c r="W18">
        <f ca="1"/>
        <v>2</v>
      </c>
      <c r="X18">
        <f ca="1"/>
        <v>23000</v>
      </c>
      <c r="Y18">
        <f ca="1"/>
        <v>192</v>
      </c>
      <c r="Z18">
        <f ca="1"/>
        <v>1</v>
      </c>
      <c r="AA18">
        <f ca="1"/>
        <v>0</v>
      </c>
      <c r="AB18">
        <f ca="1"/>
        <v>31</v>
      </c>
      <c r="AC18">
        <f ca="1"/>
        <v>2</v>
      </c>
      <c r="AD18">
        <f ca="1"/>
        <v>23000</v>
      </c>
      <c r="AE18">
        <f ca="1"/>
        <v>192</v>
      </c>
      <c r="AF18">
        <f ca="1"/>
        <v>1</v>
      </c>
      <c r="AG18" t="str">
        <f ca="1"/>
        <v/>
      </c>
      <c r="AH18" t="str">
        <f ca="1"/>
        <v/>
      </c>
      <c r="AI18" t="str">
        <f ca="1"/>
        <v/>
      </c>
      <c r="AJ18" t="str">
        <f ca="1"/>
        <v/>
      </c>
      <c r="AK18" t="str">
        <f ca="1"/>
        <v/>
      </c>
      <c r="AL18" t="str">
        <f ca="1"/>
        <v/>
      </c>
      <c r="AM18" t="str">
        <f ca="1"/>
        <v/>
      </c>
      <c r="AN18" t="str">
        <f ca="1"/>
        <v/>
      </c>
    </row>
    <row r="19" spans="1:40" x14ac:dyDescent="0.25">
      <c r="A19" s="14">
        <f t="shared" si="4"/>
        <v>15</v>
      </c>
      <c r="B19" s="97">
        <v>22500</v>
      </c>
      <c r="C19" s="39">
        <f t="shared" si="3"/>
        <v>1</v>
      </c>
      <c r="D19" s="97">
        <v>32</v>
      </c>
      <c r="E19" s="97">
        <v>1</v>
      </c>
      <c r="F19" s="98">
        <v>34131</v>
      </c>
      <c r="G19" s="98">
        <v>192</v>
      </c>
      <c r="H19" s="98">
        <v>1</v>
      </c>
      <c r="I19" s="98">
        <v>0</v>
      </c>
      <c r="J19" s="13"/>
      <c r="K19" s="13"/>
      <c r="L19" s="13"/>
      <c r="M19" s="13"/>
      <c r="V19">
        <f ca="1"/>
        <v>32</v>
      </c>
      <c r="W19">
        <f ca="1"/>
        <v>1</v>
      </c>
      <c r="X19">
        <f ca="1"/>
        <v>34131</v>
      </c>
      <c r="Y19">
        <f ca="1"/>
        <v>192</v>
      </c>
      <c r="Z19">
        <f ca="1"/>
        <v>1</v>
      </c>
      <c r="AA19">
        <f ca="1"/>
        <v>0</v>
      </c>
      <c r="AB19">
        <f ca="1"/>
        <v>32</v>
      </c>
      <c r="AC19">
        <f ca="1"/>
        <v>1</v>
      </c>
      <c r="AD19">
        <f ca="1"/>
        <v>34131</v>
      </c>
      <c r="AE19">
        <f ca="1"/>
        <v>192</v>
      </c>
      <c r="AF19">
        <f ca="1"/>
        <v>1</v>
      </c>
      <c r="AG19" t="str">
        <f ca="1"/>
        <v/>
      </c>
      <c r="AH19" t="str">
        <f ca="1"/>
        <v/>
      </c>
      <c r="AI19" t="str">
        <f ca="1"/>
        <v/>
      </c>
      <c r="AJ19" t="str">
        <f ca="1"/>
        <v/>
      </c>
      <c r="AK19" t="str">
        <f ca="1"/>
        <v/>
      </c>
      <c r="AL19" t="str">
        <f ca="1"/>
        <v/>
      </c>
      <c r="AM19" t="str">
        <f ca="1"/>
        <v/>
      </c>
      <c r="AN19" t="str">
        <f ca="1"/>
        <v/>
      </c>
    </row>
    <row r="20" spans="1:40" x14ac:dyDescent="0.25">
      <c r="A20" s="14">
        <f t="shared" si="4"/>
        <v>16</v>
      </c>
      <c r="B20" s="97">
        <v>22000</v>
      </c>
      <c r="C20" s="39">
        <f t="shared" si="3"/>
        <v>1</v>
      </c>
      <c r="D20" s="97">
        <v>28</v>
      </c>
      <c r="E20" s="97">
        <v>5</v>
      </c>
      <c r="F20" s="98">
        <v>18739</v>
      </c>
      <c r="G20" s="98">
        <v>192</v>
      </c>
      <c r="H20" s="98">
        <v>0</v>
      </c>
      <c r="I20" s="98">
        <v>0</v>
      </c>
      <c r="J20" s="13"/>
      <c r="K20" s="13"/>
      <c r="L20" s="13"/>
      <c r="M20" s="13"/>
      <c r="V20">
        <f ca="1"/>
        <v>28</v>
      </c>
      <c r="W20">
        <f ca="1"/>
        <v>5</v>
      </c>
      <c r="X20">
        <f ca="1"/>
        <v>18739</v>
      </c>
      <c r="Y20">
        <f ca="1"/>
        <v>192</v>
      </c>
      <c r="Z20">
        <f ca="1"/>
        <v>0</v>
      </c>
      <c r="AA20">
        <f ca="1"/>
        <v>0</v>
      </c>
      <c r="AB20">
        <f ca="1"/>
        <v>28</v>
      </c>
      <c r="AC20">
        <f ca="1"/>
        <v>5</v>
      </c>
      <c r="AD20">
        <f ca="1"/>
        <v>18739</v>
      </c>
      <c r="AE20">
        <f ca="1"/>
        <v>192</v>
      </c>
      <c r="AF20">
        <f ca="1"/>
        <v>0</v>
      </c>
      <c r="AG20" t="str">
        <f ca="1"/>
        <v/>
      </c>
      <c r="AH20" t="str">
        <f ca="1"/>
        <v/>
      </c>
      <c r="AI20" t="str">
        <f ca="1"/>
        <v/>
      </c>
      <c r="AJ20" t="str">
        <f ca="1"/>
        <v/>
      </c>
      <c r="AK20" t="str">
        <f ca="1"/>
        <v/>
      </c>
      <c r="AL20" t="str">
        <f ca="1"/>
        <v/>
      </c>
      <c r="AM20" t="str">
        <f ca="1"/>
        <v/>
      </c>
      <c r="AN20" t="str">
        <f ca="1"/>
        <v/>
      </c>
    </row>
    <row r="21" spans="1:40" x14ac:dyDescent="0.25">
      <c r="A21" s="14">
        <f t="shared" si="4"/>
        <v>17</v>
      </c>
      <c r="B21" s="97">
        <v>22750</v>
      </c>
      <c r="C21" s="39">
        <f t="shared" si="3"/>
        <v>1</v>
      </c>
      <c r="D21" s="97">
        <v>30</v>
      </c>
      <c r="E21" s="97">
        <v>3</v>
      </c>
      <c r="F21" s="98">
        <v>34000</v>
      </c>
      <c r="G21" s="98">
        <v>192</v>
      </c>
      <c r="H21" s="98">
        <v>1</v>
      </c>
      <c r="I21" s="98">
        <v>0</v>
      </c>
      <c r="J21" s="13"/>
      <c r="K21" s="13"/>
      <c r="L21" s="13"/>
      <c r="M21" s="13"/>
      <c r="V21">
        <f ca="1"/>
        <v>30</v>
      </c>
      <c r="W21">
        <f ca="1"/>
        <v>3</v>
      </c>
      <c r="X21">
        <f ca="1"/>
        <v>34000</v>
      </c>
      <c r="Y21">
        <f ca="1"/>
        <v>192</v>
      </c>
      <c r="Z21">
        <f ca="1"/>
        <v>1</v>
      </c>
      <c r="AA21">
        <f ca="1"/>
        <v>0</v>
      </c>
      <c r="AB21">
        <f ca="1"/>
        <v>30</v>
      </c>
      <c r="AC21">
        <f ca="1"/>
        <v>3</v>
      </c>
      <c r="AD21">
        <f ca="1"/>
        <v>34000</v>
      </c>
      <c r="AE21">
        <f ca="1"/>
        <v>192</v>
      </c>
      <c r="AF21">
        <f ca="1"/>
        <v>1</v>
      </c>
      <c r="AG21" t="str">
        <f ca="1"/>
        <v/>
      </c>
      <c r="AH21" t="str">
        <f ca="1"/>
        <v/>
      </c>
      <c r="AI21" t="str">
        <f ca="1"/>
        <v/>
      </c>
      <c r="AJ21" t="str">
        <f ca="1"/>
        <v/>
      </c>
      <c r="AK21" t="str">
        <f ca="1"/>
        <v/>
      </c>
      <c r="AL21" t="str">
        <f ca="1"/>
        <v/>
      </c>
      <c r="AM21" t="str">
        <f ca="1"/>
        <v/>
      </c>
      <c r="AN21" t="str">
        <f ca="1"/>
        <v/>
      </c>
    </row>
    <row r="22" spans="1:40" x14ac:dyDescent="0.25">
      <c r="A22" s="14">
        <f t="shared" si="4"/>
        <v>18</v>
      </c>
      <c r="B22" s="97">
        <v>17950</v>
      </c>
      <c r="C22" s="39">
        <f t="shared" si="3"/>
        <v>1</v>
      </c>
      <c r="D22" s="97">
        <v>24</v>
      </c>
      <c r="E22" s="97">
        <v>9</v>
      </c>
      <c r="F22" s="98">
        <v>21716</v>
      </c>
      <c r="G22" s="98">
        <v>110</v>
      </c>
      <c r="H22" s="98">
        <v>1</v>
      </c>
      <c r="I22" s="98">
        <v>0</v>
      </c>
      <c r="J22" s="13"/>
      <c r="K22" s="13"/>
      <c r="L22" s="13"/>
      <c r="M22" s="13"/>
      <c r="V22">
        <f ca="1"/>
        <v>24</v>
      </c>
      <c r="W22">
        <f ca="1"/>
        <v>9</v>
      </c>
      <c r="X22">
        <f ca="1"/>
        <v>21716</v>
      </c>
      <c r="Y22">
        <f ca="1"/>
        <v>110</v>
      </c>
      <c r="Z22">
        <f ca="1"/>
        <v>1</v>
      </c>
      <c r="AA22">
        <f ca="1"/>
        <v>0</v>
      </c>
      <c r="AB22">
        <f ca="1"/>
        <v>24</v>
      </c>
      <c r="AC22">
        <f ca="1"/>
        <v>9</v>
      </c>
      <c r="AD22">
        <f ca="1"/>
        <v>21716</v>
      </c>
      <c r="AE22">
        <f ca="1"/>
        <v>110</v>
      </c>
      <c r="AF22">
        <f ca="1"/>
        <v>1</v>
      </c>
      <c r="AG22" t="str">
        <f ca="1"/>
        <v/>
      </c>
      <c r="AH22" t="str">
        <f ca="1"/>
        <v/>
      </c>
      <c r="AI22" t="str">
        <f ca="1"/>
        <v/>
      </c>
      <c r="AJ22" t="str">
        <f ca="1"/>
        <v/>
      </c>
      <c r="AK22" t="str">
        <f ca="1"/>
        <v/>
      </c>
      <c r="AL22" t="str">
        <f ca="1"/>
        <v/>
      </c>
      <c r="AM22" t="str">
        <f ca="1"/>
        <v/>
      </c>
      <c r="AN22" t="str">
        <f ca="1"/>
        <v/>
      </c>
    </row>
    <row r="23" spans="1:40" x14ac:dyDescent="0.25">
      <c r="A23" s="14">
        <f t="shared" si="4"/>
        <v>19</v>
      </c>
      <c r="B23" s="97">
        <v>16750</v>
      </c>
      <c r="C23" s="39">
        <f t="shared" si="3"/>
        <v>1</v>
      </c>
      <c r="D23" s="97">
        <v>24</v>
      </c>
      <c r="E23" s="97">
        <v>9</v>
      </c>
      <c r="F23" s="98">
        <v>25563</v>
      </c>
      <c r="G23" s="98">
        <v>110</v>
      </c>
      <c r="H23" s="98">
        <v>0</v>
      </c>
      <c r="I23" s="98">
        <v>0</v>
      </c>
      <c r="J23" s="13"/>
      <c r="K23" s="13"/>
      <c r="L23" s="13"/>
      <c r="M23" s="13"/>
      <c r="V23">
        <f ca="1"/>
        <v>24</v>
      </c>
      <c r="W23">
        <f ca="1"/>
        <v>9</v>
      </c>
      <c r="X23">
        <f ca="1"/>
        <v>25563</v>
      </c>
      <c r="Y23">
        <f ca="1"/>
        <v>110</v>
      </c>
      <c r="Z23">
        <f ca="1"/>
        <v>0</v>
      </c>
      <c r="AA23">
        <f ca="1"/>
        <v>0</v>
      </c>
      <c r="AB23">
        <f ca="1"/>
        <v>24</v>
      </c>
      <c r="AC23">
        <f ca="1"/>
        <v>9</v>
      </c>
      <c r="AD23">
        <f ca="1"/>
        <v>25563</v>
      </c>
      <c r="AE23">
        <f ca="1"/>
        <v>110</v>
      </c>
      <c r="AF23">
        <f ca="1"/>
        <v>0</v>
      </c>
      <c r="AG23" t="str">
        <f ca="1"/>
        <v/>
      </c>
      <c r="AH23" t="str">
        <f ca="1"/>
        <v/>
      </c>
      <c r="AI23" t="str">
        <f ca="1"/>
        <v/>
      </c>
      <c r="AJ23" t="str">
        <f ca="1"/>
        <v/>
      </c>
      <c r="AK23" t="str">
        <f ca="1"/>
        <v/>
      </c>
      <c r="AL23" t="str">
        <f ca="1"/>
        <v/>
      </c>
      <c r="AM23" t="str">
        <f ca="1"/>
        <v/>
      </c>
      <c r="AN23" t="str">
        <f ca="1"/>
        <v/>
      </c>
    </row>
    <row r="24" spans="1:40" x14ac:dyDescent="0.25">
      <c r="A24" s="14">
        <f t="shared" si="4"/>
        <v>20</v>
      </c>
      <c r="B24" s="97">
        <v>16950</v>
      </c>
      <c r="C24" s="39">
        <f t="shared" si="3"/>
        <v>1</v>
      </c>
      <c r="D24" s="97">
        <v>30</v>
      </c>
      <c r="E24" s="97">
        <v>3</v>
      </c>
      <c r="F24" s="98">
        <v>64359</v>
      </c>
      <c r="G24" s="98">
        <v>110</v>
      </c>
      <c r="H24" s="98">
        <v>1</v>
      </c>
      <c r="I24" s="98">
        <v>0</v>
      </c>
      <c r="J24" s="13"/>
      <c r="K24" s="13"/>
      <c r="L24" s="13"/>
      <c r="M24" s="13"/>
      <c r="V24">
        <f ca="1"/>
        <v>30</v>
      </c>
      <c r="W24">
        <f ca="1"/>
        <v>3</v>
      </c>
      <c r="X24">
        <f ca="1"/>
        <v>64359</v>
      </c>
      <c r="Y24">
        <f ca="1"/>
        <v>110</v>
      </c>
      <c r="Z24">
        <f ca="1"/>
        <v>1</v>
      </c>
      <c r="AA24">
        <f ca="1"/>
        <v>0</v>
      </c>
      <c r="AB24">
        <f ca="1"/>
        <v>30</v>
      </c>
      <c r="AC24">
        <f ca="1"/>
        <v>3</v>
      </c>
      <c r="AD24">
        <f ca="1"/>
        <v>64359</v>
      </c>
      <c r="AE24">
        <f ca="1"/>
        <v>110</v>
      </c>
      <c r="AF24">
        <f ca="1"/>
        <v>1</v>
      </c>
      <c r="AG24" t="str">
        <f ca="1"/>
        <v/>
      </c>
      <c r="AH24" t="str">
        <f ca="1"/>
        <v/>
      </c>
      <c r="AI24" t="str">
        <f ca="1"/>
        <v/>
      </c>
      <c r="AJ24" t="str">
        <f ca="1"/>
        <v/>
      </c>
      <c r="AK24" t="str">
        <f ca="1"/>
        <v/>
      </c>
      <c r="AL24" t="str">
        <f ca="1"/>
        <v/>
      </c>
      <c r="AM24" t="str">
        <f ca="1"/>
        <v/>
      </c>
      <c r="AN24" t="str">
        <f ca="1"/>
        <v/>
      </c>
    </row>
    <row r="25" spans="1:40" x14ac:dyDescent="0.25">
      <c r="A25" s="14">
        <f t="shared" si="4"/>
        <v>21</v>
      </c>
      <c r="B25" s="97">
        <v>15950</v>
      </c>
      <c r="C25" s="39">
        <f t="shared" si="3"/>
        <v>1</v>
      </c>
      <c r="D25" s="97">
        <v>30</v>
      </c>
      <c r="E25" s="97">
        <v>3</v>
      </c>
      <c r="F25" s="98">
        <v>67660</v>
      </c>
      <c r="G25" s="98">
        <v>110</v>
      </c>
      <c r="H25" s="98">
        <v>1</v>
      </c>
      <c r="I25" s="98">
        <v>0</v>
      </c>
      <c r="J25" s="13"/>
      <c r="K25" s="13"/>
      <c r="L25" s="13"/>
      <c r="M25" s="13"/>
      <c r="V25">
        <f ca="1"/>
        <v>30</v>
      </c>
      <c r="W25">
        <f ca="1"/>
        <v>3</v>
      </c>
      <c r="X25">
        <f ca="1"/>
        <v>67660</v>
      </c>
      <c r="Y25">
        <f ca="1"/>
        <v>110</v>
      </c>
      <c r="Z25">
        <f ca="1"/>
        <v>1</v>
      </c>
      <c r="AA25">
        <f ca="1"/>
        <v>0</v>
      </c>
      <c r="AB25">
        <f ca="1"/>
        <v>30</v>
      </c>
      <c r="AC25">
        <f ca="1"/>
        <v>3</v>
      </c>
      <c r="AD25">
        <f ca="1"/>
        <v>67660</v>
      </c>
      <c r="AE25">
        <f ca="1"/>
        <v>110</v>
      </c>
      <c r="AF25">
        <f ca="1"/>
        <v>1</v>
      </c>
      <c r="AG25" t="str">
        <f ca="1"/>
        <v/>
      </c>
      <c r="AH25" t="str">
        <f ca="1"/>
        <v/>
      </c>
      <c r="AI25" t="str">
        <f ca="1"/>
        <v/>
      </c>
      <c r="AJ25" t="str">
        <f ca="1"/>
        <v/>
      </c>
      <c r="AK25" t="str">
        <f ca="1"/>
        <v/>
      </c>
      <c r="AL25" t="str">
        <f ca="1"/>
        <v/>
      </c>
      <c r="AM25" t="str">
        <f ca="1"/>
        <v/>
      </c>
      <c r="AN25" t="str">
        <f ca="1"/>
        <v/>
      </c>
    </row>
    <row r="26" spans="1:40" x14ac:dyDescent="0.25">
      <c r="A26" s="14">
        <f t="shared" si="4"/>
        <v>22</v>
      </c>
      <c r="B26" s="97">
        <v>16950</v>
      </c>
      <c r="C26" s="39">
        <f t="shared" si="3"/>
        <v>1</v>
      </c>
      <c r="D26" s="97">
        <v>29</v>
      </c>
      <c r="E26" s="97">
        <v>4</v>
      </c>
      <c r="F26" s="98">
        <v>43905</v>
      </c>
      <c r="G26" s="98">
        <v>110</v>
      </c>
      <c r="H26" s="98">
        <v>0</v>
      </c>
      <c r="I26" s="98">
        <v>1</v>
      </c>
      <c r="J26" s="13"/>
      <c r="K26" s="13"/>
      <c r="L26" s="13"/>
      <c r="M26" s="13"/>
      <c r="V26">
        <f ca="1"/>
        <v>29</v>
      </c>
      <c r="W26">
        <f ca="1"/>
        <v>4</v>
      </c>
      <c r="X26">
        <f ca="1"/>
        <v>43905</v>
      </c>
      <c r="Y26">
        <f ca="1"/>
        <v>110</v>
      </c>
      <c r="Z26">
        <f ca="1"/>
        <v>0</v>
      </c>
      <c r="AA26">
        <f ca="1"/>
        <v>1</v>
      </c>
      <c r="AB26">
        <f ca="1"/>
        <v>29</v>
      </c>
      <c r="AC26">
        <f ca="1"/>
        <v>4</v>
      </c>
      <c r="AD26">
        <f ca="1"/>
        <v>43905</v>
      </c>
      <c r="AE26">
        <f ca="1"/>
        <v>110</v>
      </c>
      <c r="AF26">
        <f ca="1"/>
        <v>0</v>
      </c>
      <c r="AG26" t="str">
        <f ca="1"/>
        <v/>
      </c>
      <c r="AH26" t="str">
        <f ca="1"/>
        <v/>
      </c>
      <c r="AI26" t="str">
        <f ca="1"/>
        <v/>
      </c>
      <c r="AJ26" t="str">
        <f ca="1"/>
        <v/>
      </c>
      <c r="AK26" t="str">
        <f ca="1"/>
        <v/>
      </c>
      <c r="AL26" t="str">
        <f ca="1"/>
        <v/>
      </c>
      <c r="AM26" t="str">
        <f ca="1"/>
        <v/>
      </c>
      <c r="AN26" t="str">
        <f ca="1"/>
        <v/>
      </c>
    </row>
    <row r="27" spans="1:40" x14ac:dyDescent="0.25">
      <c r="A27" s="14">
        <f t="shared" si="4"/>
        <v>23</v>
      </c>
      <c r="B27" s="97">
        <v>15950</v>
      </c>
      <c r="C27" s="39">
        <f t="shared" si="3"/>
        <v>1</v>
      </c>
      <c r="D27" s="97">
        <v>28</v>
      </c>
      <c r="E27" s="97">
        <v>5</v>
      </c>
      <c r="F27" s="98">
        <v>56349</v>
      </c>
      <c r="G27" s="98">
        <v>110</v>
      </c>
      <c r="H27" s="98">
        <v>1</v>
      </c>
      <c r="I27" s="98">
        <v>0</v>
      </c>
      <c r="J27" s="13"/>
      <c r="K27" s="13"/>
      <c r="L27" s="13"/>
      <c r="M27" s="13"/>
      <c r="V27">
        <f ca="1"/>
        <v>28</v>
      </c>
      <c r="W27">
        <f ca="1"/>
        <v>5</v>
      </c>
      <c r="X27">
        <f ca="1"/>
        <v>56349</v>
      </c>
      <c r="Y27">
        <f ca="1"/>
        <v>110</v>
      </c>
      <c r="Z27">
        <f ca="1"/>
        <v>1</v>
      </c>
      <c r="AA27">
        <f ca="1"/>
        <v>0</v>
      </c>
      <c r="AB27">
        <f ca="1"/>
        <v>28</v>
      </c>
      <c r="AC27">
        <f ca="1"/>
        <v>5</v>
      </c>
      <c r="AD27">
        <f ca="1"/>
        <v>56349</v>
      </c>
      <c r="AE27">
        <f ca="1"/>
        <v>110</v>
      </c>
      <c r="AF27">
        <f ca="1"/>
        <v>1</v>
      </c>
      <c r="AG27" t="str">
        <f ca="1"/>
        <v/>
      </c>
      <c r="AH27" t="str">
        <f ca="1"/>
        <v/>
      </c>
      <c r="AI27" t="str">
        <f ca="1"/>
        <v/>
      </c>
      <c r="AJ27" t="str">
        <f ca="1"/>
        <v/>
      </c>
      <c r="AK27" t="str">
        <f ca="1"/>
        <v/>
      </c>
      <c r="AL27" t="str">
        <f ca="1"/>
        <v/>
      </c>
      <c r="AM27" t="str">
        <f ca="1"/>
        <v/>
      </c>
      <c r="AN27" t="str">
        <f ca="1"/>
        <v/>
      </c>
    </row>
    <row r="28" spans="1:40" x14ac:dyDescent="0.25">
      <c r="A28" s="14">
        <f t="shared" si="4"/>
        <v>24</v>
      </c>
      <c r="B28" s="97">
        <v>16950</v>
      </c>
      <c r="C28" s="39">
        <f t="shared" si="3"/>
        <v>1</v>
      </c>
      <c r="D28" s="97">
        <v>28</v>
      </c>
      <c r="E28" s="97">
        <v>5</v>
      </c>
      <c r="F28" s="98">
        <v>32220</v>
      </c>
      <c r="G28" s="98">
        <v>110</v>
      </c>
      <c r="H28" s="98">
        <v>1</v>
      </c>
      <c r="I28" s="98">
        <v>0</v>
      </c>
      <c r="J28" s="13"/>
      <c r="K28" s="13"/>
      <c r="L28" s="13"/>
      <c r="M28" s="13"/>
      <c r="V28">
        <f ca="1"/>
        <v>28</v>
      </c>
      <c r="W28">
        <f ca="1"/>
        <v>5</v>
      </c>
      <c r="X28">
        <f ca="1"/>
        <v>32220</v>
      </c>
      <c r="Y28">
        <f ca="1"/>
        <v>110</v>
      </c>
      <c r="Z28">
        <f ca="1"/>
        <v>1</v>
      </c>
      <c r="AA28">
        <f ca="1"/>
        <v>0</v>
      </c>
      <c r="AB28">
        <f ca="1"/>
        <v>28</v>
      </c>
      <c r="AC28">
        <f ca="1"/>
        <v>5</v>
      </c>
      <c r="AD28">
        <f ca="1"/>
        <v>32220</v>
      </c>
      <c r="AE28">
        <f ca="1"/>
        <v>110</v>
      </c>
      <c r="AF28">
        <f ca="1"/>
        <v>1</v>
      </c>
      <c r="AG28" t="str">
        <f ca="1"/>
        <v/>
      </c>
      <c r="AH28" t="str">
        <f ca="1"/>
        <v/>
      </c>
      <c r="AI28" t="str">
        <f ca="1"/>
        <v/>
      </c>
      <c r="AJ28" t="str">
        <f ca="1"/>
        <v/>
      </c>
      <c r="AK28" t="str">
        <f ca="1"/>
        <v/>
      </c>
      <c r="AL28" t="str">
        <f ca="1"/>
        <v/>
      </c>
      <c r="AM28" t="str">
        <f ca="1"/>
        <v/>
      </c>
      <c r="AN28" t="str">
        <f ca="1"/>
        <v/>
      </c>
    </row>
    <row r="29" spans="1:40" x14ac:dyDescent="0.25">
      <c r="A29" s="14">
        <f t="shared" si="4"/>
        <v>25</v>
      </c>
      <c r="B29" s="97">
        <v>16250</v>
      </c>
      <c r="C29" s="39">
        <f t="shared" si="3"/>
        <v>1</v>
      </c>
      <c r="D29" s="97">
        <v>29</v>
      </c>
      <c r="E29" s="97">
        <v>4</v>
      </c>
      <c r="F29" s="98">
        <v>25813</v>
      </c>
      <c r="G29" s="98">
        <v>110</v>
      </c>
      <c r="H29" s="98">
        <v>1</v>
      </c>
      <c r="I29" s="98">
        <v>0</v>
      </c>
      <c r="J29" s="13"/>
      <c r="K29" s="13"/>
      <c r="L29" s="13"/>
      <c r="M29" s="13"/>
      <c r="V29">
        <f ca="1"/>
        <v>29</v>
      </c>
      <c r="W29">
        <f ca="1"/>
        <v>4</v>
      </c>
      <c r="X29">
        <f ca="1"/>
        <v>25813</v>
      </c>
      <c r="Y29">
        <f ca="1"/>
        <v>110</v>
      </c>
      <c r="Z29">
        <f ca="1"/>
        <v>1</v>
      </c>
      <c r="AA29">
        <f ca="1"/>
        <v>0</v>
      </c>
      <c r="AB29">
        <f ca="1"/>
        <v>29</v>
      </c>
      <c r="AC29">
        <f ca="1"/>
        <v>4</v>
      </c>
      <c r="AD29">
        <f ca="1"/>
        <v>25813</v>
      </c>
      <c r="AE29">
        <f ca="1"/>
        <v>110</v>
      </c>
      <c r="AF29">
        <f ca="1"/>
        <v>1</v>
      </c>
      <c r="AG29" t="str">
        <f ca="1"/>
        <v/>
      </c>
      <c r="AH29" t="str">
        <f ca="1"/>
        <v/>
      </c>
      <c r="AI29" t="str">
        <f ca="1"/>
        <v/>
      </c>
      <c r="AJ29" t="str">
        <f ca="1"/>
        <v/>
      </c>
      <c r="AK29" t="str">
        <f ca="1"/>
        <v/>
      </c>
      <c r="AL29" t="str">
        <f ca="1"/>
        <v/>
      </c>
      <c r="AM29" t="str">
        <f ca="1"/>
        <v/>
      </c>
      <c r="AN29" t="str">
        <f ca="1"/>
        <v/>
      </c>
    </row>
    <row r="30" spans="1:40" x14ac:dyDescent="0.25">
      <c r="A30" s="14">
        <f t="shared" si="4"/>
        <v>26</v>
      </c>
      <c r="B30" s="97">
        <v>15950</v>
      </c>
      <c r="C30" s="39">
        <f t="shared" si="3"/>
        <v>1</v>
      </c>
      <c r="D30" s="97">
        <v>25</v>
      </c>
      <c r="E30" s="97">
        <v>8</v>
      </c>
      <c r="F30" s="98">
        <v>28450</v>
      </c>
      <c r="G30" s="98">
        <v>110</v>
      </c>
      <c r="H30" s="98">
        <v>1</v>
      </c>
      <c r="I30" s="98">
        <v>0</v>
      </c>
      <c r="J30" s="13"/>
      <c r="K30" s="13"/>
      <c r="L30" s="13"/>
      <c r="M30" s="13"/>
      <c r="V30">
        <f ca="1"/>
        <v>25</v>
      </c>
      <c r="W30">
        <f ca="1"/>
        <v>8</v>
      </c>
      <c r="X30">
        <f ca="1"/>
        <v>28450</v>
      </c>
      <c r="Y30">
        <f ca="1"/>
        <v>110</v>
      </c>
      <c r="Z30">
        <f ca="1"/>
        <v>1</v>
      </c>
      <c r="AA30">
        <f ca="1"/>
        <v>0</v>
      </c>
      <c r="AB30">
        <f ca="1"/>
        <v>25</v>
      </c>
      <c r="AC30">
        <f ca="1"/>
        <v>8</v>
      </c>
      <c r="AD30">
        <f ca="1"/>
        <v>28450</v>
      </c>
      <c r="AE30">
        <f ca="1"/>
        <v>110</v>
      </c>
      <c r="AF30">
        <f ca="1"/>
        <v>1</v>
      </c>
      <c r="AG30" t="str">
        <f ca="1"/>
        <v/>
      </c>
      <c r="AH30" t="str">
        <f ca="1"/>
        <v/>
      </c>
      <c r="AI30" t="str">
        <f ca="1"/>
        <v/>
      </c>
      <c r="AJ30" t="str">
        <f ca="1"/>
        <v/>
      </c>
      <c r="AK30" t="str">
        <f ca="1"/>
        <v/>
      </c>
      <c r="AL30" t="str">
        <f ca="1"/>
        <v/>
      </c>
      <c r="AM30" t="str">
        <f ca="1"/>
        <v/>
      </c>
      <c r="AN30" t="str">
        <f ca="1"/>
        <v/>
      </c>
    </row>
    <row r="31" spans="1:40" x14ac:dyDescent="0.25">
      <c r="A31" s="14">
        <f t="shared" si="4"/>
        <v>27</v>
      </c>
      <c r="B31" s="97">
        <v>17495</v>
      </c>
      <c r="C31" s="39">
        <f t="shared" si="3"/>
        <v>1</v>
      </c>
      <c r="D31" s="97">
        <v>27</v>
      </c>
      <c r="E31" s="97">
        <v>6</v>
      </c>
      <c r="F31" s="98">
        <v>34545</v>
      </c>
      <c r="G31" s="98">
        <v>110</v>
      </c>
      <c r="H31" s="98">
        <v>1</v>
      </c>
      <c r="I31" s="98">
        <v>0</v>
      </c>
      <c r="J31" s="13"/>
      <c r="K31" s="13"/>
      <c r="L31" s="13"/>
      <c r="M31" s="13"/>
      <c r="V31">
        <f ca="1"/>
        <v>27</v>
      </c>
      <c r="W31">
        <f ca="1"/>
        <v>6</v>
      </c>
      <c r="X31">
        <f ca="1"/>
        <v>34545</v>
      </c>
      <c r="Y31">
        <f ca="1"/>
        <v>110</v>
      </c>
      <c r="Z31">
        <f ca="1"/>
        <v>1</v>
      </c>
      <c r="AA31">
        <f ca="1"/>
        <v>0</v>
      </c>
      <c r="AB31">
        <f ca="1"/>
        <v>27</v>
      </c>
      <c r="AC31">
        <f ca="1"/>
        <v>6</v>
      </c>
      <c r="AD31">
        <f ca="1"/>
        <v>34545</v>
      </c>
      <c r="AE31">
        <f ca="1"/>
        <v>110</v>
      </c>
      <c r="AF31">
        <f ca="1"/>
        <v>1</v>
      </c>
      <c r="AG31" t="str">
        <f ca="1"/>
        <v/>
      </c>
      <c r="AH31" t="str">
        <f ca="1"/>
        <v/>
      </c>
      <c r="AI31" t="str">
        <f ca="1"/>
        <v/>
      </c>
      <c r="AJ31" t="str">
        <f ca="1"/>
        <v/>
      </c>
      <c r="AK31" t="str">
        <f ca="1"/>
        <v/>
      </c>
      <c r="AL31" t="str">
        <f ca="1"/>
        <v/>
      </c>
      <c r="AM31" t="str">
        <f ca="1"/>
        <v/>
      </c>
      <c r="AN31" t="str">
        <f ca="1"/>
        <v/>
      </c>
    </row>
    <row r="32" spans="1:40" x14ac:dyDescent="0.25">
      <c r="A32" s="14">
        <f t="shared" si="4"/>
        <v>28</v>
      </c>
      <c r="B32" s="97">
        <v>15750</v>
      </c>
      <c r="C32" s="39">
        <f t="shared" si="3"/>
        <v>1</v>
      </c>
      <c r="D32" s="97">
        <v>29</v>
      </c>
      <c r="E32" s="97">
        <v>4</v>
      </c>
      <c r="F32" s="98">
        <v>41415</v>
      </c>
      <c r="G32" s="98">
        <v>110</v>
      </c>
      <c r="H32" s="98">
        <v>1</v>
      </c>
      <c r="I32" s="98">
        <v>0</v>
      </c>
      <c r="J32" s="13"/>
      <c r="K32" s="13"/>
      <c r="L32" s="13"/>
      <c r="M32" s="13"/>
      <c r="V32">
        <f ca="1"/>
        <v>29</v>
      </c>
      <c r="W32">
        <f ca="1"/>
        <v>4</v>
      </c>
      <c r="X32">
        <f ca="1"/>
        <v>41415</v>
      </c>
      <c r="Y32">
        <f ca="1"/>
        <v>110</v>
      </c>
      <c r="Z32">
        <f ca="1"/>
        <v>1</v>
      </c>
      <c r="AA32">
        <f ca="1"/>
        <v>0</v>
      </c>
      <c r="AB32">
        <f ca="1"/>
        <v>29</v>
      </c>
      <c r="AC32">
        <f ca="1"/>
        <v>4</v>
      </c>
      <c r="AD32">
        <f ca="1"/>
        <v>41415</v>
      </c>
      <c r="AE32">
        <f ca="1"/>
        <v>110</v>
      </c>
      <c r="AF32">
        <f ca="1"/>
        <v>1</v>
      </c>
      <c r="AG32" t="str">
        <f ca="1"/>
        <v/>
      </c>
      <c r="AH32" t="str">
        <f ca="1"/>
        <v/>
      </c>
      <c r="AI32" t="str">
        <f ca="1"/>
        <v/>
      </c>
      <c r="AJ32" t="str">
        <f ca="1"/>
        <v/>
      </c>
      <c r="AK32" t="str">
        <f ca="1"/>
        <v/>
      </c>
      <c r="AL32" t="str">
        <f ca="1"/>
        <v/>
      </c>
      <c r="AM32" t="str">
        <f ca="1"/>
        <v/>
      </c>
      <c r="AN32" t="str">
        <f ca="1"/>
        <v/>
      </c>
    </row>
    <row r="33" spans="1:40" x14ac:dyDescent="0.25">
      <c r="A33" s="14">
        <f t="shared" si="4"/>
        <v>29</v>
      </c>
      <c r="B33" s="97">
        <v>16950</v>
      </c>
      <c r="C33" s="39">
        <f t="shared" si="3"/>
        <v>1</v>
      </c>
      <c r="D33" s="97">
        <v>28</v>
      </c>
      <c r="E33" s="97">
        <v>5</v>
      </c>
      <c r="F33" s="98">
        <v>44142</v>
      </c>
      <c r="G33" s="98">
        <v>110</v>
      </c>
      <c r="H33" s="98">
        <v>0</v>
      </c>
      <c r="I33" s="98">
        <v>0</v>
      </c>
      <c r="J33" s="13"/>
      <c r="K33" s="13"/>
      <c r="L33" s="13"/>
      <c r="M33" s="13"/>
      <c r="V33">
        <f ca="1"/>
        <v>28</v>
      </c>
      <c r="W33">
        <f ca="1"/>
        <v>5</v>
      </c>
      <c r="X33">
        <f ca="1"/>
        <v>44142</v>
      </c>
      <c r="Y33">
        <f ca="1"/>
        <v>110</v>
      </c>
      <c r="Z33">
        <f ca="1"/>
        <v>0</v>
      </c>
      <c r="AA33">
        <f ca="1"/>
        <v>0</v>
      </c>
      <c r="AB33">
        <f ca="1"/>
        <v>28</v>
      </c>
      <c r="AC33">
        <f ca="1"/>
        <v>5</v>
      </c>
      <c r="AD33">
        <f ca="1"/>
        <v>44142</v>
      </c>
      <c r="AE33">
        <f ca="1"/>
        <v>110</v>
      </c>
      <c r="AF33">
        <f ca="1"/>
        <v>0</v>
      </c>
      <c r="AG33" t="str">
        <f ca="1"/>
        <v/>
      </c>
      <c r="AH33" t="str">
        <f ca="1"/>
        <v/>
      </c>
      <c r="AI33" t="str">
        <f ca="1"/>
        <v/>
      </c>
      <c r="AJ33" t="str">
        <f ca="1"/>
        <v/>
      </c>
      <c r="AK33" t="str">
        <f ca="1"/>
        <v/>
      </c>
      <c r="AL33" t="str">
        <f ca="1"/>
        <v/>
      </c>
      <c r="AM33" t="str">
        <f ca="1"/>
        <v/>
      </c>
      <c r="AN33" t="str">
        <f ca="1"/>
        <v/>
      </c>
    </row>
    <row r="34" spans="1:40" x14ac:dyDescent="0.25">
      <c r="A34" s="14">
        <f t="shared" si="4"/>
        <v>30</v>
      </c>
      <c r="B34" s="97">
        <v>17950</v>
      </c>
      <c r="C34" s="39">
        <f t="shared" si="3"/>
        <v>1</v>
      </c>
      <c r="D34" s="97">
        <v>30</v>
      </c>
      <c r="E34" s="97">
        <v>3</v>
      </c>
      <c r="F34" s="98">
        <v>11090</v>
      </c>
      <c r="G34" s="98">
        <v>110</v>
      </c>
      <c r="H34" s="98">
        <v>1</v>
      </c>
      <c r="I34" s="98">
        <v>0</v>
      </c>
      <c r="J34" s="13"/>
      <c r="K34" s="13"/>
      <c r="L34" s="13"/>
      <c r="M34" s="13"/>
      <c r="V34">
        <f ca="1"/>
        <v>30</v>
      </c>
      <c r="W34">
        <f ca="1"/>
        <v>3</v>
      </c>
      <c r="X34">
        <f ca="1"/>
        <v>11090</v>
      </c>
      <c r="Y34">
        <f ca="1"/>
        <v>110</v>
      </c>
      <c r="Z34">
        <f ca="1"/>
        <v>1</v>
      </c>
      <c r="AA34">
        <f ca="1"/>
        <v>0</v>
      </c>
      <c r="AB34">
        <f ca="1"/>
        <v>30</v>
      </c>
      <c r="AC34">
        <f ca="1"/>
        <v>3</v>
      </c>
      <c r="AD34">
        <f ca="1"/>
        <v>11090</v>
      </c>
      <c r="AE34">
        <f ca="1"/>
        <v>110</v>
      </c>
      <c r="AF34">
        <f ca="1"/>
        <v>1</v>
      </c>
      <c r="AG34" t="str">
        <f ca="1"/>
        <v/>
      </c>
      <c r="AH34" t="str">
        <f ca="1"/>
        <v/>
      </c>
      <c r="AI34" t="str">
        <f ca="1"/>
        <v/>
      </c>
      <c r="AJ34" t="str">
        <f ca="1"/>
        <v/>
      </c>
      <c r="AK34" t="str">
        <f ca="1"/>
        <v/>
      </c>
      <c r="AL34" t="str">
        <f ca="1"/>
        <v/>
      </c>
      <c r="AM34" t="str">
        <f ca="1"/>
        <v/>
      </c>
      <c r="AN34" t="str">
        <f ca="1"/>
        <v/>
      </c>
    </row>
    <row r="35" spans="1:40" x14ac:dyDescent="0.25">
      <c r="A35" s="14">
        <f t="shared" si="4"/>
        <v>31</v>
      </c>
      <c r="B35" s="97">
        <v>12950</v>
      </c>
      <c r="C35" s="39">
        <f t="shared" si="3"/>
        <v>1</v>
      </c>
      <c r="D35" s="97">
        <v>29</v>
      </c>
      <c r="E35" s="97">
        <v>4</v>
      </c>
      <c r="F35" s="98">
        <v>9750</v>
      </c>
      <c r="G35" s="98">
        <v>97</v>
      </c>
      <c r="H35" s="98">
        <v>1</v>
      </c>
      <c r="I35" s="98">
        <v>0</v>
      </c>
      <c r="J35" s="13"/>
      <c r="K35" s="13"/>
      <c r="L35" s="13"/>
      <c r="M35" s="13"/>
      <c r="V35">
        <f ca="1"/>
        <v>29</v>
      </c>
      <c r="W35">
        <f ca="1"/>
        <v>4</v>
      </c>
      <c r="X35">
        <f ca="1"/>
        <v>9750</v>
      </c>
      <c r="Y35">
        <f ca="1"/>
        <v>97</v>
      </c>
      <c r="Z35">
        <f ca="1"/>
        <v>1</v>
      </c>
      <c r="AA35">
        <f ca="1"/>
        <v>0</v>
      </c>
      <c r="AB35">
        <f ca="1"/>
        <v>29</v>
      </c>
      <c r="AC35">
        <f ca="1"/>
        <v>4</v>
      </c>
      <c r="AD35">
        <f ca="1"/>
        <v>9750</v>
      </c>
      <c r="AE35">
        <f ca="1"/>
        <v>97</v>
      </c>
      <c r="AF35">
        <f ca="1"/>
        <v>1</v>
      </c>
      <c r="AG35" t="str">
        <f ca="1"/>
        <v/>
      </c>
      <c r="AH35" t="str">
        <f ca="1"/>
        <v/>
      </c>
      <c r="AI35" t="str">
        <f ca="1"/>
        <v/>
      </c>
      <c r="AJ35" t="str">
        <f ca="1"/>
        <v/>
      </c>
      <c r="AK35" t="str">
        <f ca="1"/>
        <v/>
      </c>
      <c r="AL35" t="str">
        <f ca="1"/>
        <v/>
      </c>
      <c r="AM35" t="str">
        <f ca="1"/>
        <v/>
      </c>
      <c r="AN35" t="str">
        <f ca="1"/>
        <v/>
      </c>
    </row>
    <row r="36" spans="1:40" x14ac:dyDescent="0.25">
      <c r="A36" s="14">
        <f t="shared" si="4"/>
        <v>32</v>
      </c>
      <c r="B36" s="97">
        <v>15750</v>
      </c>
      <c r="C36" s="39">
        <f t="shared" si="3"/>
        <v>1</v>
      </c>
      <c r="D36" s="97">
        <v>22</v>
      </c>
      <c r="E36" s="97">
        <v>11</v>
      </c>
      <c r="F36" s="98">
        <v>35199</v>
      </c>
      <c r="G36" s="98">
        <v>97</v>
      </c>
      <c r="H36" s="98">
        <v>1</v>
      </c>
      <c r="I36" s="98">
        <v>0</v>
      </c>
      <c r="J36" s="13"/>
      <c r="K36" s="13"/>
      <c r="L36" s="13"/>
      <c r="M36" s="13"/>
      <c r="V36">
        <f ca="1"/>
        <v>22</v>
      </c>
      <c r="W36">
        <f ca="1"/>
        <v>11</v>
      </c>
      <c r="X36">
        <f ca="1"/>
        <v>35199</v>
      </c>
      <c r="Y36">
        <f ca="1"/>
        <v>97</v>
      </c>
      <c r="Z36">
        <f ca="1"/>
        <v>1</v>
      </c>
      <c r="AA36">
        <f ca="1"/>
        <v>0</v>
      </c>
      <c r="AB36">
        <f ca="1"/>
        <v>22</v>
      </c>
      <c r="AC36">
        <f ca="1"/>
        <v>11</v>
      </c>
      <c r="AD36">
        <f ca="1"/>
        <v>35199</v>
      </c>
      <c r="AE36">
        <f ca="1"/>
        <v>97</v>
      </c>
      <c r="AF36">
        <f ca="1"/>
        <v>1</v>
      </c>
      <c r="AG36" t="str">
        <f ca="1"/>
        <v/>
      </c>
      <c r="AH36" t="str">
        <f ca="1"/>
        <v/>
      </c>
      <c r="AI36" t="str">
        <f ca="1"/>
        <v/>
      </c>
      <c r="AJ36" t="str">
        <f ca="1"/>
        <v/>
      </c>
      <c r="AK36" t="str">
        <f ca="1"/>
        <v/>
      </c>
      <c r="AL36" t="str">
        <f ca="1"/>
        <v/>
      </c>
      <c r="AM36" t="str">
        <f ca="1"/>
        <v/>
      </c>
      <c r="AN36" t="str">
        <f ca="1"/>
        <v/>
      </c>
    </row>
    <row r="37" spans="1:40" x14ac:dyDescent="0.25">
      <c r="A37" s="14">
        <f t="shared" si="4"/>
        <v>33</v>
      </c>
      <c r="B37" s="97">
        <v>15950</v>
      </c>
      <c r="C37" s="39">
        <f t="shared" si="3"/>
        <v>1</v>
      </c>
      <c r="D37" s="97">
        <v>27</v>
      </c>
      <c r="E37" s="97">
        <v>6</v>
      </c>
      <c r="F37" s="98">
        <v>29510</v>
      </c>
      <c r="G37" s="98">
        <v>97</v>
      </c>
      <c r="H37" s="98">
        <v>1</v>
      </c>
      <c r="I37" s="98">
        <v>0</v>
      </c>
      <c r="J37" s="13"/>
      <c r="K37" s="13"/>
      <c r="L37" s="13"/>
      <c r="M37" s="13"/>
      <c r="V37">
        <f ca="1"/>
        <v>27</v>
      </c>
      <c r="W37">
        <f ca="1"/>
        <v>6</v>
      </c>
      <c r="X37">
        <f ca="1"/>
        <v>29510</v>
      </c>
      <c r="Y37">
        <f ca="1"/>
        <v>97</v>
      </c>
      <c r="Z37">
        <f ca="1"/>
        <v>1</v>
      </c>
      <c r="AA37">
        <f ca="1"/>
        <v>0</v>
      </c>
      <c r="AB37">
        <f ca="1"/>
        <v>27</v>
      </c>
      <c r="AC37">
        <f ca="1"/>
        <v>6</v>
      </c>
      <c r="AD37">
        <f ca="1"/>
        <v>29510</v>
      </c>
      <c r="AE37">
        <f ca="1"/>
        <v>97</v>
      </c>
      <c r="AF37">
        <f ca="1"/>
        <v>1</v>
      </c>
      <c r="AG37" t="str">
        <f ca="1"/>
        <v/>
      </c>
      <c r="AH37" t="str">
        <f ca="1"/>
        <v/>
      </c>
      <c r="AI37" t="str">
        <f ca="1"/>
        <v/>
      </c>
      <c r="AJ37" t="str">
        <f ca="1"/>
        <v/>
      </c>
      <c r="AK37" t="str">
        <f ca="1"/>
        <v/>
      </c>
      <c r="AL37" t="str">
        <f ca="1"/>
        <v/>
      </c>
      <c r="AM37" t="str">
        <f ca="1"/>
        <v/>
      </c>
      <c r="AN37" t="str">
        <f ca="1"/>
        <v/>
      </c>
    </row>
    <row r="38" spans="1:40" x14ac:dyDescent="0.25">
      <c r="A38" s="14">
        <f t="shared" si="4"/>
        <v>34</v>
      </c>
      <c r="B38" s="97">
        <v>14950</v>
      </c>
      <c r="C38" s="39">
        <f t="shared" si="3"/>
        <v>1</v>
      </c>
      <c r="D38" s="97">
        <v>26</v>
      </c>
      <c r="E38" s="97">
        <v>7</v>
      </c>
      <c r="F38" s="98">
        <v>32692</v>
      </c>
      <c r="G38" s="98">
        <v>97</v>
      </c>
      <c r="H38" s="98">
        <v>1</v>
      </c>
      <c r="I38" s="98">
        <v>0</v>
      </c>
      <c r="J38" s="13"/>
      <c r="K38" s="13"/>
      <c r="L38" s="13"/>
      <c r="M38" s="13"/>
      <c r="V38">
        <f ca="1"/>
        <v>26</v>
      </c>
      <c r="W38">
        <f ca="1"/>
        <v>7</v>
      </c>
      <c r="X38">
        <f ca="1"/>
        <v>32692</v>
      </c>
      <c r="Y38">
        <f ca="1"/>
        <v>97</v>
      </c>
      <c r="Z38">
        <f ca="1"/>
        <v>1</v>
      </c>
      <c r="AA38">
        <f ca="1"/>
        <v>0</v>
      </c>
      <c r="AB38">
        <f ca="1"/>
        <v>26</v>
      </c>
      <c r="AC38">
        <f ca="1"/>
        <v>7</v>
      </c>
      <c r="AD38">
        <f ca="1"/>
        <v>32692</v>
      </c>
      <c r="AE38">
        <f ca="1"/>
        <v>97</v>
      </c>
      <c r="AF38">
        <f ca="1"/>
        <v>1</v>
      </c>
      <c r="AG38" t="str">
        <f ca="1"/>
        <v/>
      </c>
      <c r="AH38" t="str">
        <f ca="1"/>
        <v/>
      </c>
      <c r="AI38" t="str">
        <f ca="1"/>
        <v/>
      </c>
      <c r="AJ38" t="str">
        <f ca="1"/>
        <v/>
      </c>
      <c r="AK38" t="str">
        <f ca="1"/>
        <v/>
      </c>
      <c r="AL38" t="str">
        <f ca="1"/>
        <v/>
      </c>
      <c r="AM38" t="str">
        <f ca="1"/>
        <v/>
      </c>
      <c r="AN38" t="str">
        <f ca="1"/>
        <v/>
      </c>
    </row>
    <row r="39" spans="1:40" x14ac:dyDescent="0.25">
      <c r="A39" s="14">
        <f t="shared" si="4"/>
        <v>35</v>
      </c>
      <c r="B39" s="97">
        <v>15500</v>
      </c>
      <c r="C39" s="39">
        <f t="shared" si="3"/>
        <v>1</v>
      </c>
      <c r="D39" s="97">
        <v>22</v>
      </c>
      <c r="E39" s="97">
        <v>11</v>
      </c>
      <c r="F39" s="98">
        <v>41000</v>
      </c>
      <c r="G39" s="98">
        <v>97</v>
      </c>
      <c r="H39" s="98">
        <v>1</v>
      </c>
      <c r="I39" s="98">
        <v>0</v>
      </c>
      <c r="J39" s="13"/>
      <c r="K39" s="13"/>
      <c r="L39" s="13"/>
      <c r="M39" s="13"/>
      <c r="V39">
        <f ca="1"/>
        <v>22</v>
      </c>
      <c r="W39">
        <f ca="1"/>
        <v>11</v>
      </c>
      <c r="X39">
        <f ca="1"/>
        <v>41000</v>
      </c>
      <c r="Y39">
        <f ca="1"/>
        <v>97</v>
      </c>
      <c r="Z39">
        <f ca="1"/>
        <v>1</v>
      </c>
      <c r="AA39">
        <f ca="1"/>
        <v>0</v>
      </c>
      <c r="AB39">
        <f ca="1"/>
        <v>22</v>
      </c>
      <c r="AC39">
        <f ca="1"/>
        <v>11</v>
      </c>
      <c r="AD39">
        <f ca="1"/>
        <v>41000</v>
      </c>
      <c r="AE39">
        <f ca="1"/>
        <v>97</v>
      </c>
      <c r="AF39">
        <f ca="1"/>
        <v>1</v>
      </c>
      <c r="AG39" t="str">
        <f ca="1"/>
        <v/>
      </c>
      <c r="AH39" t="str">
        <f ca="1"/>
        <v/>
      </c>
      <c r="AI39" t="str">
        <f ca="1"/>
        <v/>
      </c>
      <c r="AJ39" t="str">
        <f ca="1"/>
        <v/>
      </c>
      <c r="AK39" t="str">
        <f ca="1"/>
        <v/>
      </c>
      <c r="AL39" t="str">
        <f ca="1"/>
        <v/>
      </c>
      <c r="AM39" t="str">
        <f ca="1"/>
        <v/>
      </c>
      <c r="AN39" t="str">
        <f ca="1"/>
        <v/>
      </c>
    </row>
    <row r="40" spans="1:40" x14ac:dyDescent="0.25">
      <c r="A40" s="14">
        <f t="shared" si="4"/>
        <v>36</v>
      </c>
      <c r="B40" s="97">
        <v>15750</v>
      </c>
      <c r="C40" s="39">
        <f t="shared" si="3"/>
        <v>1</v>
      </c>
      <c r="D40" s="97">
        <v>26</v>
      </c>
      <c r="E40" s="97">
        <v>7</v>
      </c>
      <c r="F40" s="98">
        <v>43000</v>
      </c>
      <c r="G40" s="98">
        <v>97</v>
      </c>
      <c r="H40" s="98">
        <v>0</v>
      </c>
      <c r="I40" s="98">
        <v>0</v>
      </c>
      <c r="J40" s="13"/>
      <c r="K40" s="13"/>
      <c r="L40" s="13"/>
      <c r="M40" s="13"/>
      <c r="V40">
        <f ca="1"/>
        <v>26</v>
      </c>
      <c r="W40">
        <f ca="1"/>
        <v>7</v>
      </c>
      <c r="X40">
        <f ca="1"/>
        <v>43000</v>
      </c>
      <c r="Y40">
        <f ca="1"/>
        <v>97</v>
      </c>
      <c r="Z40">
        <f ca="1"/>
        <v>0</v>
      </c>
      <c r="AA40">
        <f ca="1"/>
        <v>0</v>
      </c>
      <c r="AB40">
        <f ca="1"/>
        <v>26</v>
      </c>
      <c r="AC40">
        <f ca="1"/>
        <v>7</v>
      </c>
      <c r="AD40">
        <f ca="1"/>
        <v>43000</v>
      </c>
      <c r="AE40">
        <f ca="1"/>
        <v>97</v>
      </c>
      <c r="AF40">
        <f ca="1"/>
        <v>0</v>
      </c>
      <c r="AG40" t="str">
        <f ca="1"/>
        <v/>
      </c>
      <c r="AH40" t="str">
        <f ca="1"/>
        <v/>
      </c>
      <c r="AI40" t="str">
        <f ca="1"/>
        <v/>
      </c>
      <c r="AJ40" t="str">
        <f ca="1"/>
        <v/>
      </c>
      <c r="AK40" t="str">
        <f ca="1"/>
        <v/>
      </c>
      <c r="AL40" t="str">
        <f ca="1"/>
        <v/>
      </c>
      <c r="AM40" t="str">
        <f ca="1"/>
        <v/>
      </c>
      <c r="AN40" t="str">
        <f ca="1"/>
        <v/>
      </c>
    </row>
    <row r="41" spans="1:40" x14ac:dyDescent="0.25">
      <c r="A41" s="14">
        <f t="shared" si="4"/>
        <v>37</v>
      </c>
      <c r="B41" s="97">
        <v>15950</v>
      </c>
      <c r="C41" s="39">
        <f t="shared" si="3"/>
        <v>1</v>
      </c>
      <c r="D41" s="97">
        <v>25</v>
      </c>
      <c r="E41" s="97">
        <v>8</v>
      </c>
      <c r="F41" s="98">
        <v>25000</v>
      </c>
      <c r="G41" s="98">
        <v>97</v>
      </c>
      <c r="H41" s="98">
        <v>0</v>
      </c>
      <c r="I41" s="98">
        <v>0</v>
      </c>
      <c r="J41" s="13"/>
      <c r="K41" s="13"/>
      <c r="L41" s="13"/>
      <c r="M41" s="13"/>
      <c r="V41">
        <f ca="1"/>
        <v>25</v>
      </c>
      <c r="W41">
        <f ca="1"/>
        <v>8</v>
      </c>
      <c r="X41">
        <f ca="1"/>
        <v>25000</v>
      </c>
      <c r="Y41">
        <f ca="1"/>
        <v>97</v>
      </c>
      <c r="Z41">
        <f ca="1"/>
        <v>0</v>
      </c>
      <c r="AA41">
        <f ca="1"/>
        <v>0</v>
      </c>
      <c r="AB41">
        <f ca="1"/>
        <v>25</v>
      </c>
      <c r="AC41">
        <f ca="1"/>
        <v>8</v>
      </c>
      <c r="AD41">
        <f ca="1"/>
        <v>25000</v>
      </c>
      <c r="AE41">
        <f ca="1"/>
        <v>97</v>
      </c>
      <c r="AF41">
        <f ca="1"/>
        <v>0</v>
      </c>
      <c r="AG41" t="str">
        <f ca="1"/>
        <v/>
      </c>
      <c r="AH41" t="str">
        <f ca="1"/>
        <v/>
      </c>
      <c r="AI41" t="str">
        <f ca="1"/>
        <v/>
      </c>
      <c r="AJ41" t="str">
        <f ca="1"/>
        <v/>
      </c>
      <c r="AK41" t="str">
        <f ca="1"/>
        <v/>
      </c>
      <c r="AL41" t="str">
        <f ca="1"/>
        <v/>
      </c>
      <c r="AM41" t="str">
        <f ca="1"/>
        <v/>
      </c>
      <c r="AN41" t="str">
        <f ca="1"/>
        <v/>
      </c>
    </row>
    <row r="42" spans="1:40" x14ac:dyDescent="0.25">
      <c r="A42" s="14">
        <f t="shared" si="4"/>
        <v>38</v>
      </c>
      <c r="B42" s="97">
        <v>14950</v>
      </c>
      <c r="C42" s="39">
        <f t="shared" si="3"/>
        <v>1</v>
      </c>
      <c r="D42" s="97">
        <v>23</v>
      </c>
      <c r="E42" s="97">
        <v>10</v>
      </c>
      <c r="F42" s="98">
        <v>10000</v>
      </c>
      <c r="G42" s="98">
        <v>97</v>
      </c>
      <c r="H42" s="98">
        <v>1</v>
      </c>
      <c r="I42" s="98">
        <v>0</v>
      </c>
      <c r="J42" s="13"/>
      <c r="K42" s="13"/>
      <c r="L42" s="13"/>
      <c r="M42" s="13"/>
      <c r="V42">
        <f ca="1"/>
        <v>23</v>
      </c>
      <c r="W42">
        <f ca="1"/>
        <v>10</v>
      </c>
      <c r="X42">
        <f ca="1"/>
        <v>10000</v>
      </c>
      <c r="Y42">
        <f ca="1"/>
        <v>97</v>
      </c>
      <c r="Z42">
        <f ca="1"/>
        <v>1</v>
      </c>
      <c r="AA42">
        <f ca="1"/>
        <v>0</v>
      </c>
      <c r="AB42">
        <f ca="1"/>
        <v>23</v>
      </c>
      <c r="AC42">
        <f ca="1"/>
        <v>10</v>
      </c>
      <c r="AD42">
        <f ca="1"/>
        <v>10000</v>
      </c>
      <c r="AE42">
        <f ca="1"/>
        <v>97</v>
      </c>
      <c r="AF42">
        <f ca="1"/>
        <v>1</v>
      </c>
      <c r="AG42" t="str">
        <f ca="1"/>
        <v/>
      </c>
      <c r="AH42" t="str">
        <f ca="1"/>
        <v/>
      </c>
      <c r="AI42" t="str">
        <f ca="1"/>
        <v/>
      </c>
      <c r="AJ42" t="str">
        <f ca="1"/>
        <v/>
      </c>
      <c r="AK42" t="str">
        <f ca="1"/>
        <v/>
      </c>
      <c r="AL42" t="str">
        <f ca="1"/>
        <v/>
      </c>
      <c r="AM42" t="str">
        <f ca="1"/>
        <v/>
      </c>
      <c r="AN42" t="str">
        <f ca="1"/>
        <v/>
      </c>
    </row>
    <row r="43" spans="1:40" x14ac:dyDescent="0.25">
      <c r="A43" s="14">
        <f t="shared" si="4"/>
        <v>39</v>
      </c>
      <c r="B43" s="97">
        <v>15750</v>
      </c>
      <c r="C43" s="39">
        <f t="shared" si="3"/>
        <v>1</v>
      </c>
      <c r="D43" s="97">
        <v>32</v>
      </c>
      <c r="E43" s="97">
        <v>1</v>
      </c>
      <c r="F43" s="98">
        <v>25329</v>
      </c>
      <c r="G43" s="98">
        <v>97</v>
      </c>
      <c r="H43" s="98">
        <v>1</v>
      </c>
      <c r="I43" s="98">
        <v>0</v>
      </c>
      <c r="J43" s="13"/>
      <c r="K43" s="13"/>
      <c r="L43" s="13"/>
      <c r="M43" s="13"/>
      <c r="V43">
        <f ca="1"/>
        <v>32</v>
      </c>
      <c r="W43">
        <f ca="1"/>
        <v>1</v>
      </c>
      <c r="X43">
        <f ca="1"/>
        <v>25329</v>
      </c>
      <c r="Y43">
        <f ca="1"/>
        <v>97</v>
      </c>
      <c r="Z43">
        <f ca="1"/>
        <v>1</v>
      </c>
      <c r="AA43">
        <f ca="1"/>
        <v>0</v>
      </c>
      <c r="AB43">
        <f ca="1"/>
        <v>32</v>
      </c>
      <c r="AC43">
        <f ca="1"/>
        <v>1</v>
      </c>
      <c r="AD43">
        <f ca="1"/>
        <v>25329</v>
      </c>
      <c r="AE43">
        <f ca="1"/>
        <v>97</v>
      </c>
      <c r="AF43">
        <f ca="1"/>
        <v>1</v>
      </c>
      <c r="AG43" t="str">
        <f ca="1"/>
        <v/>
      </c>
      <c r="AH43" t="str">
        <f ca="1"/>
        <v/>
      </c>
      <c r="AI43" t="str">
        <f ca="1"/>
        <v/>
      </c>
      <c r="AJ43" t="str">
        <f ca="1"/>
        <v/>
      </c>
      <c r="AK43" t="str">
        <f ca="1"/>
        <v/>
      </c>
      <c r="AL43" t="str">
        <f ca="1"/>
        <v/>
      </c>
      <c r="AM43" t="str">
        <f ca="1"/>
        <v/>
      </c>
      <c r="AN43" t="str">
        <f ca="1"/>
        <v/>
      </c>
    </row>
    <row r="44" spans="1:40" x14ac:dyDescent="0.25">
      <c r="A44" s="14">
        <f t="shared" si="4"/>
        <v>40</v>
      </c>
      <c r="B44" s="97">
        <v>14750</v>
      </c>
      <c r="C44" s="39">
        <f t="shared" si="3"/>
        <v>1</v>
      </c>
      <c r="D44" s="97">
        <v>27</v>
      </c>
      <c r="E44" s="97">
        <v>6</v>
      </c>
      <c r="F44" s="98">
        <v>27500</v>
      </c>
      <c r="G44" s="98">
        <v>97</v>
      </c>
      <c r="H44" s="98">
        <v>0</v>
      </c>
      <c r="I44" s="98">
        <v>0</v>
      </c>
      <c r="J44" s="13"/>
      <c r="K44" s="13"/>
      <c r="L44" s="13"/>
      <c r="M44" s="13"/>
      <c r="V44">
        <f ca="1"/>
        <v>27</v>
      </c>
      <c r="W44">
        <f ca="1"/>
        <v>6</v>
      </c>
      <c r="X44">
        <f ca="1"/>
        <v>27500</v>
      </c>
      <c r="Y44">
        <f ca="1"/>
        <v>97</v>
      </c>
      <c r="Z44">
        <f ca="1"/>
        <v>0</v>
      </c>
      <c r="AA44">
        <f ca="1"/>
        <v>0</v>
      </c>
      <c r="AB44">
        <f ca="1"/>
        <v>27</v>
      </c>
      <c r="AC44">
        <f ca="1"/>
        <v>6</v>
      </c>
      <c r="AD44">
        <f ca="1"/>
        <v>27500</v>
      </c>
      <c r="AE44">
        <f ca="1"/>
        <v>97</v>
      </c>
      <c r="AF44">
        <f ca="1"/>
        <v>0</v>
      </c>
      <c r="AG44" t="str">
        <f ca="1"/>
        <v/>
      </c>
      <c r="AH44" t="str">
        <f ca="1"/>
        <v/>
      </c>
      <c r="AI44" t="str">
        <f ca="1"/>
        <v/>
      </c>
      <c r="AJ44" t="str">
        <f ca="1"/>
        <v/>
      </c>
      <c r="AK44" t="str">
        <f ca="1"/>
        <v/>
      </c>
      <c r="AL44" t="str">
        <f ca="1"/>
        <v/>
      </c>
      <c r="AM44" t="str">
        <f ca="1"/>
        <v/>
      </c>
      <c r="AN44" t="str">
        <f ca="1"/>
        <v/>
      </c>
    </row>
    <row r="45" spans="1:40" x14ac:dyDescent="0.25">
      <c r="A45" s="14">
        <f t="shared" si="4"/>
        <v>41</v>
      </c>
      <c r="B45" s="97">
        <v>13950</v>
      </c>
      <c r="C45" s="39">
        <f t="shared" si="3"/>
        <v>1</v>
      </c>
      <c r="D45" s="97">
        <v>22</v>
      </c>
      <c r="E45" s="97">
        <v>11</v>
      </c>
      <c r="F45" s="98">
        <v>49059</v>
      </c>
      <c r="G45" s="98">
        <v>97</v>
      </c>
      <c r="H45" s="98">
        <v>0</v>
      </c>
      <c r="I45" s="98">
        <v>0</v>
      </c>
      <c r="J45" s="13"/>
      <c r="K45" s="13"/>
      <c r="L45" s="13"/>
      <c r="M45" s="13"/>
      <c r="V45">
        <f ca="1"/>
        <v>22</v>
      </c>
      <c r="W45">
        <f ca="1"/>
        <v>11</v>
      </c>
      <c r="X45">
        <f ca="1"/>
        <v>49059</v>
      </c>
      <c r="Y45">
        <f ca="1"/>
        <v>97</v>
      </c>
      <c r="Z45">
        <f ca="1"/>
        <v>0</v>
      </c>
      <c r="AA45">
        <f ca="1"/>
        <v>0</v>
      </c>
      <c r="AB45">
        <f ca="1"/>
        <v>22</v>
      </c>
      <c r="AC45">
        <f ca="1"/>
        <v>11</v>
      </c>
      <c r="AD45">
        <f ca="1"/>
        <v>49059</v>
      </c>
      <c r="AE45">
        <f ca="1"/>
        <v>97</v>
      </c>
      <c r="AF45">
        <f ca="1"/>
        <v>0</v>
      </c>
      <c r="AG45" t="str">
        <f ca="1"/>
        <v/>
      </c>
      <c r="AH45" t="str">
        <f ca="1"/>
        <v/>
      </c>
      <c r="AI45" t="str">
        <f ca="1"/>
        <v/>
      </c>
      <c r="AJ45" t="str">
        <f ca="1"/>
        <v/>
      </c>
      <c r="AK45" t="str">
        <f ca="1"/>
        <v/>
      </c>
      <c r="AL45" t="str">
        <f ca="1"/>
        <v/>
      </c>
      <c r="AM45" t="str">
        <f ca="1"/>
        <v/>
      </c>
      <c r="AN45" t="str">
        <f ca="1"/>
        <v/>
      </c>
    </row>
    <row r="46" spans="1:40" x14ac:dyDescent="0.25">
      <c r="A46" s="14">
        <f t="shared" si="4"/>
        <v>42</v>
      </c>
      <c r="B46" s="97">
        <v>16750</v>
      </c>
      <c r="C46" s="39">
        <f t="shared" si="3"/>
        <v>1</v>
      </c>
      <c r="D46" s="97">
        <v>27</v>
      </c>
      <c r="E46" s="97">
        <v>6</v>
      </c>
      <c r="F46" s="98">
        <v>44068</v>
      </c>
      <c r="G46" s="98">
        <v>97</v>
      </c>
      <c r="H46" s="98">
        <v>1</v>
      </c>
      <c r="I46" s="98">
        <v>0</v>
      </c>
      <c r="J46" s="13"/>
      <c r="K46" s="13"/>
      <c r="L46" s="13"/>
      <c r="M46" s="13"/>
      <c r="V46">
        <f ca="1"/>
        <v>27</v>
      </c>
      <c r="W46">
        <f ca="1"/>
        <v>6</v>
      </c>
      <c r="X46">
        <f ca="1"/>
        <v>44068</v>
      </c>
      <c r="Y46">
        <f ca="1"/>
        <v>97</v>
      </c>
      <c r="Z46">
        <f ca="1"/>
        <v>1</v>
      </c>
      <c r="AA46">
        <f ca="1"/>
        <v>0</v>
      </c>
      <c r="AB46">
        <f ca="1"/>
        <v>27</v>
      </c>
      <c r="AC46">
        <f ca="1"/>
        <v>6</v>
      </c>
      <c r="AD46">
        <f ca="1"/>
        <v>44068</v>
      </c>
      <c r="AE46">
        <f ca="1"/>
        <v>97</v>
      </c>
      <c r="AF46">
        <f ca="1"/>
        <v>1</v>
      </c>
      <c r="AG46" t="str">
        <f ca="1"/>
        <v/>
      </c>
      <c r="AH46" t="str">
        <f ca="1"/>
        <v/>
      </c>
      <c r="AI46" t="str">
        <f ca="1"/>
        <v/>
      </c>
      <c r="AJ46" t="str">
        <f ca="1"/>
        <v/>
      </c>
      <c r="AK46" t="str">
        <f ca="1"/>
        <v/>
      </c>
      <c r="AL46" t="str">
        <f ca="1"/>
        <v/>
      </c>
      <c r="AM46" t="str">
        <f ca="1"/>
        <v/>
      </c>
      <c r="AN46" t="str">
        <f ca="1"/>
        <v/>
      </c>
    </row>
    <row r="47" spans="1:40" x14ac:dyDescent="0.25">
      <c r="A47" s="14">
        <f t="shared" si="4"/>
        <v>43</v>
      </c>
      <c r="B47" s="97">
        <v>13950</v>
      </c>
      <c r="C47" s="39">
        <f t="shared" si="3"/>
        <v>1</v>
      </c>
      <c r="D47" s="97">
        <v>22</v>
      </c>
      <c r="E47" s="97">
        <v>11</v>
      </c>
      <c r="F47" s="98">
        <v>46961</v>
      </c>
      <c r="G47" s="98">
        <v>97</v>
      </c>
      <c r="H47" s="98">
        <v>0</v>
      </c>
      <c r="I47" s="98">
        <v>0</v>
      </c>
      <c r="J47" s="13"/>
      <c r="K47" s="13"/>
      <c r="L47" s="13"/>
      <c r="M47" s="13"/>
      <c r="V47">
        <f ca="1"/>
        <v>22</v>
      </c>
      <c r="W47">
        <f ca="1"/>
        <v>11</v>
      </c>
      <c r="X47">
        <f ca="1"/>
        <v>46961</v>
      </c>
      <c r="Y47">
        <f ca="1"/>
        <v>97</v>
      </c>
      <c r="Z47">
        <f ca="1"/>
        <v>0</v>
      </c>
      <c r="AA47">
        <f ca="1"/>
        <v>0</v>
      </c>
      <c r="AB47">
        <f ca="1"/>
        <v>22</v>
      </c>
      <c r="AC47">
        <f ca="1"/>
        <v>11</v>
      </c>
      <c r="AD47">
        <f ca="1"/>
        <v>46961</v>
      </c>
      <c r="AE47">
        <f ca="1"/>
        <v>97</v>
      </c>
      <c r="AF47">
        <f ca="1"/>
        <v>0</v>
      </c>
      <c r="AG47" t="str">
        <f ca="1"/>
        <v/>
      </c>
      <c r="AH47" t="str">
        <f ca="1"/>
        <v/>
      </c>
      <c r="AI47" t="str">
        <f ca="1"/>
        <v/>
      </c>
      <c r="AJ47" t="str">
        <f ca="1"/>
        <v/>
      </c>
      <c r="AK47" t="str">
        <f ca="1"/>
        <v/>
      </c>
      <c r="AL47" t="str">
        <f ca="1"/>
        <v/>
      </c>
      <c r="AM47" t="str">
        <f ca="1"/>
        <v/>
      </c>
      <c r="AN47" t="str">
        <f ca="1"/>
        <v/>
      </c>
    </row>
    <row r="48" spans="1:40" x14ac:dyDescent="0.25">
      <c r="A48" s="14">
        <f t="shared" si="4"/>
        <v>44</v>
      </c>
      <c r="B48" s="97">
        <v>16950</v>
      </c>
      <c r="C48" s="39">
        <f t="shared" si="3"/>
        <v>1</v>
      </c>
      <c r="D48" s="97">
        <v>27</v>
      </c>
      <c r="E48" s="97">
        <v>6</v>
      </c>
      <c r="F48" s="98">
        <v>110404</v>
      </c>
      <c r="G48" s="98">
        <v>90</v>
      </c>
      <c r="H48" s="98">
        <v>0</v>
      </c>
      <c r="I48" s="98">
        <v>0</v>
      </c>
      <c r="J48" s="13"/>
      <c r="K48" s="13"/>
      <c r="L48" s="13"/>
      <c r="M48" s="13"/>
      <c r="V48">
        <f ca="1"/>
        <v>27</v>
      </c>
      <c r="W48">
        <f ca="1"/>
        <v>6</v>
      </c>
      <c r="X48">
        <f ca="1"/>
        <v>110404</v>
      </c>
      <c r="Y48">
        <f ca="1"/>
        <v>90</v>
      </c>
      <c r="Z48">
        <f ca="1"/>
        <v>0</v>
      </c>
      <c r="AA48">
        <f ca="1"/>
        <v>0</v>
      </c>
      <c r="AB48">
        <f ca="1"/>
        <v>27</v>
      </c>
      <c r="AC48">
        <f ca="1"/>
        <v>6</v>
      </c>
      <c r="AD48">
        <f ca="1"/>
        <v>110404</v>
      </c>
      <c r="AE48">
        <f ca="1"/>
        <v>90</v>
      </c>
      <c r="AF48">
        <f ca="1"/>
        <v>0</v>
      </c>
      <c r="AG48" t="str">
        <f ca="1"/>
        <v/>
      </c>
      <c r="AH48" t="str">
        <f ca="1"/>
        <v/>
      </c>
      <c r="AI48" t="str">
        <f ca="1"/>
        <v/>
      </c>
      <c r="AJ48" t="str">
        <f ca="1"/>
        <v/>
      </c>
      <c r="AK48" t="str">
        <f ca="1"/>
        <v/>
      </c>
      <c r="AL48" t="str">
        <f ca="1"/>
        <v/>
      </c>
      <c r="AM48" t="str">
        <f ca="1"/>
        <v/>
      </c>
      <c r="AN48" t="str">
        <f ca="1"/>
        <v/>
      </c>
    </row>
    <row r="49" spans="1:40" x14ac:dyDescent="0.25">
      <c r="A49" s="14">
        <f t="shared" si="4"/>
        <v>45</v>
      </c>
      <c r="B49" s="97">
        <v>16950</v>
      </c>
      <c r="C49" s="39">
        <f t="shared" si="3"/>
        <v>1</v>
      </c>
      <c r="D49" s="97">
        <v>22</v>
      </c>
      <c r="E49" s="97">
        <v>11</v>
      </c>
      <c r="F49" s="98">
        <v>100250</v>
      </c>
      <c r="G49" s="98">
        <v>90</v>
      </c>
      <c r="H49" s="98">
        <v>0</v>
      </c>
      <c r="I49" s="98">
        <v>0</v>
      </c>
      <c r="J49" s="13"/>
      <c r="K49" s="13"/>
      <c r="L49" s="13"/>
      <c r="M49" s="13"/>
      <c r="V49">
        <f ca="1"/>
        <v>22</v>
      </c>
      <c r="W49">
        <f ca="1"/>
        <v>11</v>
      </c>
      <c r="X49">
        <f ca="1"/>
        <v>100250</v>
      </c>
      <c r="Y49">
        <f ca="1"/>
        <v>90</v>
      </c>
      <c r="Z49">
        <f ca="1"/>
        <v>0</v>
      </c>
      <c r="AA49">
        <f ca="1"/>
        <v>0</v>
      </c>
      <c r="AB49">
        <f ca="1"/>
        <v>22</v>
      </c>
      <c r="AC49">
        <f ca="1"/>
        <v>11</v>
      </c>
      <c r="AD49">
        <f ca="1"/>
        <v>100250</v>
      </c>
      <c r="AE49">
        <f ca="1"/>
        <v>90</v>
      </c>
      <c r="AF49">
        <f ca="1"/>
        <v>0</v>
      </c>
      <c r="AG49" t="str">
        <f ca="1"/>
        <v/>
      </c>
      <c r="AH49" t="str">
        <f ca="1"/>
        <v/>
      </c>
      <c r="AI49" t="str">
        <f ca="1"/>
        <v/>
      </c>
      <c r="AJ49" t="str">
        <f ca="1"/>
        <v/>
      </c>
      <c r="AK49" t="str">
        <f ca="1"/>
        <v/>
      </c>
      <c r="AL49" t="str">
        <f ca="1"/>
        <v/>
      </c>
      <c r="AM49" t="str">
        <f ca="1"/>
        <v/>
      </c>
      <c r="AN49" t="str">
        <f ca="1"/>
        <v/>
      </c>
    </row>
    <row r="50" spans="1:40" x14ac:dyDescent="0.25">
      <c r="A50" s="14">
        <f t="shared" si="4"/>
        <v>46</v>
      </c>
      <c r="B50" s="97">
        <v>19000</v>
      </c>
      <c r="C50" s="39">
        <f t="shared" si="3"/>
        <v>1</v>
      </c>
      <c r="D50" s="97">
        <v>23</v>
      </c>
      <c r="E50" s="97">
        <v>10</v>
      </c>
      <c r="F50" s="98">
        <v>84000</v>
      </c>
      <c r="G50" s="98">
        <v>90</v>
      </c>
      <c r="H50" s="98">
        <v>0</v>
      </c>
      <c r="I50" s="98">
        <v>0</v>
      </c>
      <c r="J50" s="13"/>
      <c r="K50" s="13"/>
      <c r="L50" s="13"/>
      <c r="M50" s="13"/>
      <c r="V50">
        <f ca="1"/>
        <v>23</v>
      </c>
      <c r="W50">
        <f ca="1"/>
        <v>10</v>
      </c>
      <c r="X50">
        <f ca="1"/>
        <v>84000</v>
      </c>
      <c r="Y50">
        <f ca="1"/>
        <v>90</v>
      </c>
      <c r="Z50">
        <f ca="1"/>
        <v>0</v>
      </c>
      <c r="AA50">
        <f ca="1"/>
        <v>0</v>
      </c>
      <c r="AB50">
        <f ca="1"/>
        <v>23</v>
      </c>
      <c r="AC50">
        <f ca="1"/>
        <v>10</v>
      </c>
      <c r="AD50">
        <f ca="1"/>
        <v>84000</v>
      </c>
      <c r="AE50">
        <f ca="1"/>
        <v>90</v>
      </c>
      <c r="AF50">
        <f ca="1"/>
        <v>0</v>
      </c>
      <c r="AG50" t="str">
        <f ca="1"/>
        <v/>
      </c>
      <c r="AH50" t="str">
        <f ca="1"/>
        <v/>
      </c>
      <c r="AI50" t="str">
        <f ca="1"/>
        <v/>
      </c>
      <c r="AJ50" t="str">
        <f ca="1"/>
        <v/>
      </c>
      <c r="AK50" t="str">
        <f ca="1"/>
        <v/>
      </c>
      <c r="AL50" t="str">
        <f ca="1"/>
        <v/>
      </c>
      <c r="AM50" t="str">
        <f ca="1"/>
        <v/>
      </c>
      <c r="AN50" t="str">
        <f ca="1"/>
        <v/>
      </c>
    </row>
    <row r="51" spans="1:40" x14ac:dyDescent="0.25">
      <c r="A51" s="14">
        <f t="shared" si="4"/>
        <v>47</v>
      </c>
      <c r="B51" s="97">
        <v>17950</v>
      </c>
      <c r="C51" s="39">
        <f t="shared" si="3"/>
        <v>1</v>
      </c>
      <c r="D51" s="97">
        <v>27</v>
      </c>
      <c r="E51" s="97">
        <v>6</v>
      </c>
      <c r="F51" s="98">
        <v>79375</v>
      </c>
      <c r="G51" s="98">
        <v>90</v>
      </c>
      <c r="H51" s="98">
        <v>1</v>
      </c>
      <c r="I51" s="98">
        <v>0</v>
      </c>
      <c r="J51" s="13"/>
      <c r="K51" s="13"/>
      <c r="L51" s="13"/>
      <c r="M51" s="13"/>
      <c r="V51">
        <f ca="1"/>
        <v>27</v>
      </c>
      <c r="W51">
        <f ca="1"/>
        <v>6</v>
      </c>
      <c r="X51">
        <f ca="1"/>
        <v>79375</v>
      </c>
      <c r="Y51">
        <f ca="1"/>
        <v>90</v>
      </c>
      <c r="Z51">
        <f ca="1"/>
        <v>1</v>
      </c>
      <c r="AA51">
        <f ca="1"/>
        <v>0</v>
      </c>
      <c r="AB51">
        <f ca="1"/>
        <v>27</v>
      </c>
      <c r="AC51">
        <f ca="1"/>
        <v>6</v>
      </c>
      <c r="AD51">
        <f ca="1"/>
        <v>79375</v>
      </c>
      <c r="AE51">
        <f ca="1"/>
        <v>90</v>
      </c>
      <c r="AF51">
        <f ca="1"/>
        <v>1</v>
      </c>
      <c r="AG51" t="str">
        <f ca="1"/>
        <v/>
      </c>
      <c r="AH51" t="str">
        <f ca="1"/>
        <v/>
      </c>
      <c r="AI51" t="str">
        <f ca="1"/>
        <v/>
      </c>
      <c r="AJ51" t="str">
        <f ca="1"/>
        <v/>
      </c>
      <c r="AK51" t="str">
        <f ca="1"/>
        <v/>
      </c>
      <c r="AL51" t="str">
        <f ca="1"/>
        <v/>
      </c>
      <c r="AM51" t="str">
        <f ca="1"/>
        <v/>
      </c>
      <c r="AN51" t="str">
        <f ca="1"/>
        <v/>
      </c>
    </row>
    <row r="52" spans="1:40" x14ac:dyDescent="0.25">
      <c r="A52" s="14">
        <f t="shared" si="4"/>
        <v>48</v>
      </c>
      <c r="B52" s="97">
        <v>15800</v>
      </c>
      <c r="C52" s="39">
        <f t="shared" si="3"/>
        <v>1</v>
      </c>
      <c r="D52" s="97">
        <v>22</v>
      </c>
      <c r="E52" s="97">
        <v>11</v>
      </c>
      <c r="F52" s="98">
        <v>75048</v>
      </c>
      <c r="G52" s="98">
        <v>97</v>
      </c>
      <c r="H52" s="98">
        <v>1</v>
      </c>
      <c r="I52" s="98">
        <v>0</v>
      </c>
      <c r="J52" s="13"/>
      <c r="K52" s="13"/>
      <c r="L52" s="13"/>
      <c r="M52" s="13"/>
      <c r="V52">
        <f ca="1"/>
        <v>22</v>
      </c>
      <c r="W52">
        <f ca="1"/>
        <v>11</v>
      </c>
      <c r="X52">
        <f ca="1"/>
        <v>75048</v>
      </c>
      <c r="Y52">
        <f ca="1"/>
        <v>97</v>
      </c>
      <c r="Z52">
        <f ca="1"/>
        <v>1</v>
      </c>
      <c r="AA52">
        <f ca="1"/>
        <v>0</v>
      </c>
      <c r="AB52">
        <f ca="1"/>
        <v>22</v>
      </c>
      <c r="AC52">
        <f ca="1"/>
        <v>11</v>
      </c>
      <c r="AD52">
        <f ca="1"/>
        <v>75048</v>
      </c>
      <c r="AE52">
        <f ca="1"/>
        <v>97</v>
      </c>
      <c r="AF52">
        <f ca="1"/>
        <v>1</v>
      </c>
      <c r="AG52" t="str">
        <f ca="1"/>
        <v/>
      </c>
      <c r="AH52" t="str">
        <f ca="1"/>
        <v/>
      </c>
      <c r="AI52" t="str">
        <f ca="1"/>
        <v/>
      </c>
      <c r="AJ52" t="str">
        <f ca="1"/>
        <v/>
      </c>
      <c r="AK52" t="str">
        <f ca="1"/>
        <v/>
      </c>
      <c r="AL52" t="str">
        <f ca="1"/>
        <v/>
      </c>
      <c r="AM52" t="str">
        <f ca="1"/>
        <v/>
      </c>
      <c r="AN52" t="str">
        <f ca="1"/>
        <v/>
      </c>
    </row>
    <row r="53" spans="1:40" x14ac:dyDescent="0.25">
      <c r="A53" s="14">
        <f t="shared" si="4"/>
        <v>49</v>
      </c>
      <c r="B53" s="97">
        <v>17950</v>
      </c>
      <c r="C53" s="39">
        <f t="shared" si="3"/>
        <v>1</v>
      </c>
      <c r="D53" s="97">
        <v>22</v>
      </c>
      <c r="E53" s="97">
        <v>11</v>
      </c>
      <c r="F53" s="98">
        <v>72215</v>
      </c>
      <c r="G53" s="98">
        <v>90</v>
      </c>
      <c r="H53" s="98">
        <v>1</v>
      </c>
      <c r="I53" s="98">
        <v>0</v>
      </c>
      <c r="J53" s="13"/>
      <c r="K53" s="13"/>
      <c r="L53" s="13"/>
      <c r="M53" s="13"/>
      <c r="V53">
        <f ca="1"/>
        <v>22</v>
      </c>
      <c r="W53">
        <f ca="1"/>
        <v>11</v>
      </c>
      <c r="X53">
        <f ca="1"/>
        <v>72215</v>
      </c>
      <c r="Y53">
        <f ca="1"/>
        <v>90</v>
      </c>
      <c r="Z53">
        <f ca="1"/>
        <v>1</v>
      </c>
      <c r="AA53">
        <f ca="1"/>
        <v>0</v>
      </c>
      <c r="AB53">
        <f ca="1"/>
        <v>22</v>
      </c>
      <c r="AC53">
        <f ca="1"/>
        <v>11</v>
      </c>
      <c r="AD53">
        <f ca="1"/>
        <v>72215</v>
      </c>
      <c r="AE53">
        <f ca="1"/>
        <v>90</v>
      </c>
      <c r="AF53">
        <f ca="1"/>
        <v>1</v>
      </c>
      <c r="AG53" t="str">
        <f ca="1"/>
        <v/>
      </c>
      <c r="AH53" t="str">
        <f ca="1"/>
        <v/>
      </c>
      <c r="AI53" t="str">
        <f ca="1"/>
        <v/>
      </c>
      <c r="AJ53" t="str">
        <f ca="1"/>
        <v/>
      </c>
      <c r="AK53" t="str">
        <f ca="1"/>
        <v/>
      </c>
      <c r="AL53" t="str">
        <f ca="1"/>
        <v/>
      </c>
      <c r="AM53" t="str">
        <f ca="1"/>
        <v/>
      </c>
      <c r="AN53" t="str">
        <f ca="1"/>
        <v/>
      </c>
    </row>
    <row r="54" spans="1:40" x14ac:dyDescent="0.25">
      <c r="A54" s="14">
        <f t="shared" si="4"/>
        <v>50</v>
      </c>
      <c r="B54" s="97">
        <v>21950</v>
      </c>
      <c r="C54" s="39">
        <f t="shared" si="3"/>
        <v>1</v>
      </c>
      <c r="D54" s="97">
        <v>31</v>
      </c>
      <c r="E54" s="97">
        <v>2</v>
      </c>
      <c r="F54" s="98">
        <v>64982</v>
      </c>
      <c r="G54" s="98">
        <v>192</v>
      </c>
      <c r="H54" s="98">
        <v>1</v>
      </c>
      <c r="I54" s="98">
        <v>0</v>
      </c>
      <c r="J54" s="13"/>
      <c r="K54" s="13"/>
      <c r="L54" s="13"/>
      <c r="M54" s="13"/>
      <c r="V54">
        <f ca="1"/>
        <v>31</v>
      </c>
      <c r="W54">
        <f ca="1"/>
        <v>2</v>
      </c>
      <c r="X54">
        <f ca="1"/>
        <v>64982</v>
      </c>
      <c r="Y54">
        <f ca="1"/>
        <v>192</v>
      </c>
      <c r="Z54">
        <f ca="1"/>
        <v>1</v>
      </c>
      <c r="AA54">
        <f ca="1"/>
        <v>0</v>
      </c>
      <c r="AB54">
        <f ca="1"/>
        <v>31</v>
      </c>
      <c r="AC54">
        <f ca="1"/>
        <v>2</v>
      </c>
      <c r="AD54">
        <f ca="1"/>
        <v>64982</v>
      </c>
      <c r="AE54">
        <f ca="1"/>
        <v>192</v>
      </c>
      <c r="AF54">
        <f ca="1"/>
        <v>1</v>
      </c>
      <c r="AG54" t="str">
        <f ca="1"/>
        <v/>
      </c>
      <c r="AH54" t="str">
        <f ca="1"/>
        <v/>
      </c>
      <c r="AI54" t="str">
        <f ca="1"/>
        <v/>
      </c>
      <c r="AJ54" t="str">
        <f ca="1"/>
        <v/>
      </c>
      <c r="AK54" t="str">
        <f ca="1"/>
        <v/>
      </c>
      <c r="AL54" t="str">
        <f ca="1"/>
        <v/>
      </c>
      <c r="AM54" t="str">
        <f ca="1"/>
        <v/>
      </c>
      <c r="AN54" t="str">
        <f ca="1"/>
        <v/>
      </c>
    </row>
    <row r="55" spans="1:40" x14ac:dyDescent="0.25">
      <c r="A55" s="14">
        <f t="shared" si="4"/>
        <v>51</v>
      </c>
      <c r="B55" s="97">
        <v>17950</v>
      </c>
      <c r="C55" s="39">
        <f t="shared" si="3"/>
        <v>1</v>
      </c>
      <c r="D55" s="97">
        <v>22</v>
      </c>
      <c r="E55" s="97">
        <v>11</v>
      </c>
      <c r="F55" s="98">
        <v>62636</v>
      </c>
      <c r="G55" s="98">
        <v>90</v>
      </c>
      <c r="H55" s="98">
        <v>1</v>
      </c>
      <c r="I55" s="98">
        <v>0</v>
      </c>
      <c r="J55" s="13"/>
      <c r="K55" s="13"/>
      <c r="L55" s="13"/>
      <c r="M55" s="13"/>
      <c r="V55">
        <f ca="1"/>
        <v>22</v>
      </c>
      <c r="W55">
        <f ca="1"/>
        <v>11</v>
      </c>
      <c r="X55">
        <f ca="1"/>
        <v>62636</v>
      </c>
      <c r="Y55">
        <f ca="1"/>
        <v>90</v>
      </c>
      <c r="Z55">
        <f ca="1"/>
        <v>1</v>
      </c>
      <c r="AA55">
        <f ca="1"/>
        <v>0</v>
      </c>
      <c r="AB55">
        <f ca="1"/>
        <v>22</v>
      </c>
      <c r="AC55">
        <f ca="1"/>
        <v>11</v>
      </c>
      <c r="AD55">
        <f ca="1"/>
        <v>62636</v>
      </c>
      <c r="AE55">
        <f ca="1"/>
        <v>90</v>
      </c>
      <c r="AF55">
        <f ca="1"/>
        <v>1</v>
      </c>
      <c r="AG55" t="str">
        <f ca="1"/>
        <v/>
      </c>
      <c r="AH55" t="str">
        <f ca="1"/>
        <v/>
      </c>
      <c r="AI55" t="str">
        <f ca="1"/>
        <v/>
      </c>
      <c r="AJ55" t="str">
        <f ca="1"/>
        <v/>
      </c>
      <c r="AK55" t="str">
        <f ca="1"/>
        <v/>
      </c>
      <c r="AL55" t="str">
        <f ca="1"/>
        <v/>
      </c>
      <c r="AM55" t="str">
        <f ca="1"/>
        <v/>
      </c>
      <c r="AN55" t="str">
        <f ca="1"/>
        <v/>
      </c>
    </row>
    <row r="56" spans="1:40" x14ac:dyDescent="0.25">
      <c r="A56" s="14">
        <f t="shared" si="4"/>
        <v>52</v>
      </c>
      <c r="B56" s="97">
        <v>15750</v>
      </c>
      <c r="C56" s="39">
        <f t="shared" si="3"/>
        <v>1</v>
      </c>
      <c r="D56" s="97">
        <v>30</v>
      </c>
      <c r="E56" s="97">
        <v>3</v>
      </c>
      <c r="F56" s="98">
        <v>57086</v>
      </c>
      <c r="G56" s="98">
        <v>97</v>
      </c>
      <c r="H56" s="98">
        <v>1</v>
      </c>
      <c r="I56" s="98">
        <v>0</v>
      </c>
      <c r="J56" s="13"/>
      <c r="K56" s="13"/>
      <c r="L56" s="13"/>
      <c r="M56" s="13"/>
      <c r="V56">
        <f ca="1"/>
        <v>30</v>
      </c>
      <c r="W56">
        <f ca="1"/>
        <v>3</v>
      </c>
      <c r="X56">
        <f ca="1"/>
        <v>57086</v>
      </c>
      <c r="Y56">
        <f ca="1"/>
        <v>97</v>
      </c>
      <c r="Z56">
        <f ca="1"/>
        <v>1</v>
      </c>
      <c r="AA56">
        <f ca="1"/>
        <v>0</v>
      </c>
      <c r="AB56">
        <f ca="1"/>
        <v>30</v>
      </c>
      <c r="AC56">
        <f ca="1"/>
        <v>3</v>
      </c>
      <c r="AD56">
        <f ca="1"/>
        <v>57086</v>
      </c>
      <c r="AE56">
        <f ca="1"/>
        <v>97</v>
      </c>
      <c r="AF56">
        <f ca="1"/>
        <v>1</v>
      </c>
      <c r="AG56" t="str">
        <f ca="1"/>
        <v/>
      </c>
      <c r="AH56" t="str">
        <f ca="1"/>
        <v/>
      </c>
      <c r="AI56" t="str">
        <f ca="1"/>
        <v/>
      </c>
      <c r="AJ56" t="str">
        <f ca="1"/>
        <v/>
      </c>
      <c r="AK56" t="str">
        <f ca="1"/>
        <v/>
      </c>
      <c r="AL56" t="str">
        <f ca="1"/>
        <v/>
      </c>
      <c r="AM56" t="str">
        <f ca="1"/>
        <v/>
      </c>
      <c r="AN56" t="str">
        <f ca="1"/>
        <v/>
      </c>
    </row>
    <row r="57" spans="1:40" x14ac:dyDescent="0.25">
      <c r="A57" s="14">
        <f t="shared" si="4"/>
        <v>53</v>
      </c>
      <c r="B57" s="97">
        <v>20500</v>
      </c>
      <c r="C57" s="39">
        <f t="shared" si="3"/>
        <v>1</v>
      </c>
      <c r="D57" s="97">
        <v>26</v>
      </c>
      <c r="E57" s="97">
        <v>7</v>
      </c>
      <c r="F57" s="98">
        <v>56000</v>
      </c>
      <c r="G57" s="98">
        <v>110</v>
      </c>
      <c r="H57" s="98">
        <v>1</v>
      </c>
      <c r="I57" s="98">
        <v>1</v>
      </c>
      <c r="J57" s="13"/>
      <c r="K57" s="13"/>
      <c r="L57" s="13"/>
      <c r="M57" s="13"/>
      <c r="V57">
        <f ca="1"/>
        <v>26</v>
      </c>
      <c r="W57">
        <f ca="1"/>
        <v>7</v>
      </c>
      <c r="X57">
        <f ca="1"/>
        <v>56000</v>
      </c>
      <c r="Y57">
        <f ca="1"/>
        <v>110</v>
      </c>
      <c r="Z57">
        <f ca="1"/>
        <v>1</v>
      </c>
      <c r="AA57">
        <f ca="1"/>
        <v>1</v>
      </c>
      <c r="AB57">
        <f ca="1"/>
        <v>26</v>
      </c>
      <c r="AC57">
        <f ca="1"/>
        <v>7</v>
      </c>
      <c r="AD57">
        <f ca="1"/>
        <v>56000</v>
      </c>
      <c r="AE57">
        <f ca="1"/>
        <v>110</v>
      </c>
      <c r="AF57">
        <f ca="1"/>
        <v>1</v>
      </c>
      <c r="AG57" t="str">
        <f ca="1"/>
        <v/>
      </c>
      <c r="AH57" t="str">
        <f ca="1"/>
        <v/>
      </c>
      <c r="AI57" t="str">
        <f ca="1"/>
        <v/>
      </c>
      <c r="AJ57" t="str">
        <f ca="1"/>
        <v/>
      </c>
      <c r="AK57" t="str">
        <f ca="1"/>
        <v/>
      </c>
      <c r="AL57" t="str">
        <f ca="1"/>
        <v/>
      </c>
      <c r="AM57" t="str">
        <f ca="1"/>
        <v/>
      </c>
      <c r="AN57" t="str">
        <f ca="1"/>
        <v/>
      </c>
    </row>
    <row r="58" spans="1:40" x14ac:dyDescent="0.25">
      <c r="A58" s="14">
        <f t="shared" si="4"/>
        <v>54</v>
      </c>
      <c r="B58" s="97">
        <v>21950</v>
      </c>
      <c r="C58" s="39">
        <f t="shared" si="3"/>
        <v>1</v>
      </c>
      <c r="D58" s="97">
        <v>27</v>
      </c>
      <c r="E58" s="97">
        <v>6</v>
      </c>
      <c r="F58" s="98">
        <v>49866</v>
      </c>
      <c r="G58" s="98">
        <v>192</v>
      </c>
      <c r="H58" s="98">
        <v>1</v>
      </c>
      <c r="I58" s="98">
        <v>0</v>
      </c>
      <c r="J58" s="13"/>
      <c r="K58" s="13"/>
      <c r="L58" s="13"/>
      <c r="M58" s="13"/>
      <c r="V58">
        <f ca="1"/>
        <v>27</v>
      </c>
      <c r="W58">
        <f ca="1"/>
        <v>6</v>
      </c>
      <c r="X58">
        <f ca="1"/>
        <v>49866</v>
      </c>
      <c r="Y58">
        <f ca="1"/>
        <v>192</v>
      </c>
      <c r="Z58">
        <f ca="1"/>
        <v>1</v>
      </c>
      <c r="AA58">
        <f ca="1"/>
        <v>0</v>
      </c>
      <c r="AB58">
        <f ca="1"/>
        <v>27</v>
      </c>
      <c r="AC58">
        <f ca="1"/>
        <v>6</v>
      </c>
      <c r="AD58">
        <f ca="1"/>
        <v>49866</v>
      </c>
      <c r="AE58">
        <f ca="1"/>
        <v>192</v>
      </c>
      <c r="AF58">
        <f ca="1"/>
        <v>1</v>
      </c>
      <c r="AG58" t="str">
        <f ca="1"/>
        <v/>
      </c>
      <c r="AH58" t="str">
        <f ca="1"/>
        <v/>
      </c>
      <c r="AI58" t="str">
        <f ca="1"/>
        <v/>
      </c>
      <c r="AJ58" t="str">
        <f ca="1"/>
        <v/>
      </c>
      <c r="AK58" t="str">
        <f ca="1"/>
        <v/>
      </c>
      <c r="AL58" t="str">
        <f ca="1"/>
        <v/>
      </c>
      <c r="AM58" t="str">
        <f ca="1"/>
        <v/>
      </c>
      <c r="AN58" t="str">
        <f ca="1"/>
        <v/>
      </c>
    </row>
    <row r="59" spans="1:40" x14ac:dyDescent="0.25">
      <c r="A59" s="14">
        <f t="shared" si="4"/>
        <v>55</v>
      </c>
      <c r="B59" s="97">
        <v>15500</v>
      </c>
      <c r="C59" s="39">
        <f t="shared" si="3"/>
        <v>1</v>
      </c>
      <c r="D59" s="97">
        <v>25</v>
      </c>
      <c r="E59" s="97">
        <v>8</v>
      </c>
      <c r="F59" s="98">
        <v>49163</v>
      </c>
      <c r="G59" s="98">
        <v>110</v>
      </c>
      <c r="H59" s="98">
        <v>0</v>
      </c>
      <c r="I59" s="98">
        <v>1</v>
      </c>
      <c r="J59" s="13"/>
      <c r="K59" s="13"/>
      <c r="L59" s="13"/>
      <c r="M59" s="13"/>
      <c r="V59">
        <f ca="1"/>
        <v>25</v>
      </c>
      <c r="W59">
        <f ca="1"/>
        <v>8</v>
      </c>
      <c r="X59">
        <f ca="1"/>
        <v>49163</v>
      </c>
      <c r="Y59">
        <f ca="1"/>
        <v>110</v>
      </c>
      <c r="Z59">
        <f ca="1"/>
        <v>0</v>
      </c>
      <c r="AA59">
        <f ca="1"/>
        <v>1</v>
      </c>
      <c r="AB59">
        <f ca="1"/>
        <v>25</v>
      </c>
      <c r="AC59">
        <f ca="1"/>
        <v>8</v>
      </c>
      <c r="AD59">
        <f ca="1"/>
        <v>49163</v>
      </c>
      <c r="AE59">
        <f ca="1"/>
        <v>110</v>
      </c>
      <c r="AF59">
        <f ca="1"/>
        <v>0</v>
      </c>
      <c r="AG59" t="str">
        <f ca="1"/>
        <v/>
      </c>
      <c r="AH59" t="str">
        <f ca="1"/>
        <v/>
      </c>
      <c r="AI59" t="str">
        <f ca="1"/>
        <v/>
      </c>
      <c r="AJ59" t="str">
        <f ca="1"/>
        <v/>
      </c>
      <c r="AK59" t="str">
        <f ca="1"/>
        <v/>
      </c>
      <c r="AL59" t="str">
        <f ca="1"/>
        <v/>
      </c>
      <c r="AM59" t="str">
        <f ca="1"/>
        <v/>
      </c>
      <c r="AN59" t="str">
        <f ca="1"/>
        <v/>
      </c>
    </row>
    <row r="60" spans="1:40" x14ac:dyDescent="0.25">
      <c r="A60" s="14">
        <f t="shared" si="4"/>
        <v>56</v>
      </c>
      <c r="B60" s="97">
        <v>13250</v>
      </c>
      <c r="C60" s="39">
        <f t="shared" si="3"/>
        <v>1</v>
      </c>
      <c r="D60" s="97">
        <v>32</v>
      </c>
      <c r="E60" s="97">
        <v>1</v>
      </c>
      <c r="F60" s="98">
        <v>45725</v>
      </c>
      <c r="G60" s="98">
        <v>110</v>
      </c>
      <c r="H60" s="98">
        <v>1</v>
      </c>
      <c r="I60" s="98">
        <v>0</v>
      </c>
      <c r="J60" s="13"/>
      <c r="K60" s="13"/>
      <c r="L60" s="13"/>
      <c r="M60" s="13"/>
      <c r="V60">
        <f ca="1"/>
        <v>32</v>
      </c>
      <c r="W60">
        <f ca="1"/>
        <v>1</v>
      </c>
      <c r="X60">
        <f ca="1"/>
        <v>45725</v>
      </c>
      <c r="Y60">
        <f ca="1"/>
        <v>110</v>
      </c>
      <c r="Z60">
        <f ca="1"/>
        <v>1</v>
      </c>
      <c r="AA60">
        <f ca="1"/>
        <v>0</v>
      </c>
      <c r="AB60">
        <f ca="1"/>
        <v>32</v>
      </c>
      <c r="AC60">
        <f ca="1"/>
        <v>1</v>
      </c>
      <c r="AD60">
        <f ca="1"/>
        <v>45725</v>
      </c>
      <c r="AE60">
        <f ca="1"/>
        <v>110</v>
      </c>
      <c r="AF60">
        <f ca="1"/>
        <v>1</v>
      </c>
      <c r="AG60" t="str">
        <f ca="1"/>
        <v/>
      </c>
      <c r="AH60" t="str">
        <f ca="1"/>
        <v/>
      </c>
      <c r="AI60" t="str">
        <f ca="1"/>
        <v/>
      </c>
      <c r="AJ60" t="str">
        <f ca="1"/>
        <v/>
      </c>
      <c r="AK60" t="str">
        <f ca="1"/>
        <v/>
      </c>
      <c r="AL60" t="str">
        <f ca="1"/>
        <v/>
      </c>
      <c r="AM60" t="str">
        <f ca="1"/>
        <v/>
      </c>
      <c r="AN60" t="str">
        <f ca="1"/>
        <v/>
      </c>
    </row>
    <row r="61" spans="1:40" x14ac:dyDescent="0.25">
      <c r="A61" s="14">
        <f t="shared" si="4"/>
        <v>57</v>
      </c>
      <c r="B61" s="97">
        <v>15250</v>
      </c>
      <c r="C61" s="39">
        <f t="shared" si="3"/>
        <v>1</v>
      </c>
      <c r="D61" s="97">
        <v>28</v>
      </c>
      <c r="E61" s="97">
        <v>5</v>
      </c>
      <c r="F61" s="98">
        <v>43210</v>
      </c>
      <c r="G61" s="98">
        <v>97</v>
      </c>
      <c r="H61" s="98">
        <v>0</v>
      </c>
      <c r="I61" s="98">
        <v>0</v>
      </c>
      <c r="J61" s="13"/>
      <c r="K61" s="13"/>
      <c r="L61" s="13"/>
      <c r="M61" s="13"/>
      <c r="V61">
        <f ca="1"/>
        <v>28</v>
      </c>
      <c r="W61">
        <f ca="1"/>
        <v>5</v>
      </c>
      <c r="X61">
        <f ca="1"/>
        <v>43210</v>
      </c>
      <c r="Y61">
        <f ca="1"/>
        <v>97</v>
      </c>
      <c r="Z61">
        <f ca="1"/>
        <v>0</v>
      </c>
      <c r="AA61">
        <f ca="1"/>
        <v>0</v>
      </c>
      <c r="AB61">
        <f ca="1"/>
        <v>28</v>
      </c>
      <c r="AC61">
        <f ca="1"/>
        <v>5</v>
      </c>
      <c r="AD61">
        <f ca="1"/>
        <v>43210</v>
      </c>
      <c r="AE61">
        <f ca="1"/>
        <v>97</v>
      </c>
      <c r="AF61">
        <f ca="1"/>
        <v>0</v>
      </c>
      <c r="AG61" t="str">
        <f ca="1"/>
        <v/>
      </c>
      <c r="AH61" t="str">
        <f ca="1"/>
        <v/>
      </c>
      <c r="AI61" t="str">
        <f ca="1"/>
        <v/>
      </c>
      <c r="AJ61" t="str">
        <f ca="1"/>
        <v/>
      </c>
      <c r="AK61" t="str">
        <f ca="1"/>
        <v/>
      </c>
      <c r="AL61" t="str">
        <f ca="1"/>
        <v/>
      </c>
      <c r="AM61" t="str">
        <f ca="1"/>
        <v/>
      </c>
      <c r="AN61" t="str">
        <f ca="1"/>
        <v/>
      </c>
    </row>
    <row r="62" spans="1:40" x14ac:dyDescent="0.25">
      <c r="A62" s="14">
        <f t="shared" si="4"/>
        <v>58</v>
      </c>
      <c r="B62" s="97">
        <v>15250</v>
      </c>
      <c r="C62" s="39">
        <f t="shared" si="3"/>
        <v>1</v>
      </c>
      <c r="D62" s="97">
        <v>26</v>
      </c>
      <c r="E62" s="97">
        <v>7</v>
      </c>
      <c r="F62" s="98">
        <v>43000</v>
      </c>
      <c r="G62" s="98">
        <v>97</v>
      </c>
      <c r="H62" s="98">
        <v>0</v>
      </c>
      <c r="I62" s="98">
        <v>0</v>
      </c>
      <c r="J62" s="13"/>
      <c r="K62" s="13"/>
      <c r="L62" s="13"/>
      <c r="M62" s="13"/>
      <c r="V62">
        <f ca="1"/>
        <v>26</v>
      </c>
      <c r="W62">
        <f ca="1"/>
        <v>7</v>
      </c>
      <c r="X62">
        <f ca="1"/>
        <v>43000</v>
      </c>
      <c r="Y62">
        <f ca="1"/>
        <v>97</v>
      </c>
      <c r="Z62">
        <f ca="1"/>
        <v>0</v>
      </c>
      <c r="AA62">
        <f ca="1"/>
        <v>0</v>
      </c>
      <c r="AB62">
        <f ca="1"/>
        <v>26</v>
      </c>
      <c r="AC62">
        <f ca="1"/>
        <v>7</v>
      </c>
      <c r="AD62">
        <f ca="1"/>
        <v>43000</v>
      </c>
      <c r="AE62">
        <f ca="1"/>
        <v>97</v>
      </c>
      <c r="AF62">
        <f ca="1"/>
        <v>0</v>
      </c>
      <c r="AG62" t="str">
        <f ca="1"/>
        <v/>
      </c>
      <c r="AH62" t="str">
        <f ca="1"/>
        <v/>
      </c>
      <c r="AI62" t="str">
        <f ca="1"/>
        <v/>
      </c>
      <c r="AJ62" t="str">
        <f ca="1"/>
        <v/>
      </c>
      <c r="AK62" t="str">
        <f ca="1"/>
        <v/>
      </c>
      <c r="AL62" t="str">
        <f ca="1"/>
        <v/>
      </c>
      <c r="AM62" t="str">
        <f ca="1"/>
        <v/>
      </c>
      <c r="AN62" t="str">
        <f ca="1"/>
        <v/>
      </c>
    </row>
    <row r="63" spans="1:40" x14ac:dyDescent="0.25">
      <c r="A63" s="14">
        <f t="shared" si="4"/>
        <v>59</v>
      </c>
      <c r="B63" s="97">
        <v>18950</v>
      </c>
      <c r="C63" s="39">
        <f t="shared" si="3"/>
        <v>1</v>
      </c>
      <c r="D63" s="97">
        <v>23</v>
      </c>
      <c r="E63" s="97">
        <v>10</v>
      </c>
      <c r="F63" s="98">
        <v>39704</v>
      </c>
      <c r="G63" s="98">
        <v>110</v>
      </c>
      <c r="H63" s="98">
        <v>1</v>
      </c>
      <c r="I63" s="98">
        <v>1</v>
      </c>
      <c r="J63" s="13"/>
      <c r="K63" s="13"/>
      <c r="L63" s="13"/>
      <c r="M63" s="13"/>
      <c r="V63">
        <f ca="1"/>
        <v>23</v>
      </c>
      <c r="W63">
        <f ca="1"/>
        <v>10</v>
      </c>
      <c r="X63">
        <f ca="1"/>
        <v>39704</v>
      </c>
      <c r="Y63">
        <f ca="1"/>
        <v>110</v>
      </c>
      <c r="Z63">
        <f ca="1"/>
        <v>1</v>
      </c>
      <c r="AA63">
        <f ca="1"/>
        <v>1</v>
      </c>
      <c r="AB63">
        <f ca="1"/>
        <v>23</v>
      </c>
      <c r="AC63">
        <f ca="1"/>
        <v>10</v>
      </c>
      <c r="AD63">
        <f ca="1"/>
        <v>39704</v>
      </c>
      <c r="AE63">
        <f ca="1"/>
        <v>110</v>
      </c>
      <c r="AF63">
        <f ca="1"/>
        <v>1</v>
      </c>
      <c r="AG63" t="str">
        <f ca="1"/>
        <v/>
      </c>
      <c r="AH63" t="str">
        <f ca="1"/>
        <v/>
      </c>
      <c r="AI63" t="str">
        <f ca="1"/>
        <v/>
      </c>
      <c r="AJ63" t="str">
        <f ca="1"/>
        <v/>
      </c>
      <c r="AK63" t="str">
        <f ca="1"/>
        <v/>
      </c>
      <c r="AL63" t="str">
        <f ca="1"/>
        <v/>
      </c>
      <c r="AM63" t="str">
        <f ca="1"/>
        <v/>
      </c>
      <c r="AN63" t="str">
        <f ca="1"/>
        <v/>
      </c>
    </row>
    <row r="64" spans="1:40" x14ac:dyDescent="0.25">
      <c r="A64" s="14">
        <f t="shared" si="4"/>
        <v>60</v>
      </c>
      <c r="B64" s="97">
        <v>15999</v>
      </c>
      <c r="C64" s="39">
        <f t="shared" si="3"/>
        <v>1</v>
      </c>
      <c r="D64" s="97">
        <v>30</v>
      </c>
      <c r="E64" s="97">
        <v>3</v>
      </c>
      <c r="F64" s="98">
        <v>38950</v>
      </c>
      <c r="G64" s="98">
        <v>110</v>
      </c>
      <c r="H64" s="98">
        <v>1</v>
      </c>
      <c r="I64" s="98">
        <v>0</v>
      </c>
      <c r="J64" s="13"/>
      <c r="K64" s="13"/>
      <c r="L64" s="13"/>
      <c r="M64" s="13"/>
      <c r="V64">
        <f ca="1"/>
        <v>30</v>
      </c>
      <c r="W64">
        <f ca="1"/>
        <v>3</v>
      </c>
      <c r="X64">
        <f ca="1"/>
        <v>38950</v>
      </c>
      <c r="Y64">
        <f ca="1"/>
        <v>110</v>
      </c>
      <c r="Z64">
        <f ca="1"/>
        <v>1</v>
      </c>
      <c r="AA64">
        <f ca="1"/>
        <v>0</v>
      </c>
      <c r="AB64">
        <f ca="1"/>
        <v>30</v>
      </c>
      <c r="AC64">
        <f ca="1"/>
        <v>3</v>
      </c>
      <c r="AD64">
        <f ca="1"/>
        <v>38950</v>
      </c>
      <c r="AE64">
        <f ca="1"/>
        <v>110</v>
      </c>
      <c r="AF64">
        <f ca="1"/>
        <v>1</v>
      </c>
      <c r="AG64" t="str">
        <f ca="1"/>
        <v/>
      </c>
      <c r="AH64" t="str">
        <f ca="1"/>
        <v/>
      </c>
      <c r="AI64" t="str">
        <f ca="1"/>
        <v/>
      </c>
      <c r="AJ64" t="str">
        <f ca="1"/>
        <v/>
      </c>
      <c r="AK64" t="str">
        <f ca="1"/>
        <v/>
      </c>
      <c r="AL64" t="str">
        <f ca="1"/>
        <v/>
      </c>
      <c r="AM64" t="str">
        <f ca="1"/>
        <v/>
      </c>
      <c r="AN64" t="str">
        <f ca="1"/>
        <v/>
      </c>
    </row>
    <row r="65" spans="1:40" x14ac:dyDescent="0.25">
      <c r="A65" s="14">
        <f t="shared" si="4"/>
        <v>61</v>
      </c>
      <c r="B65" s="97">
        <v>14950</v>
      </c>
      <c r="C65" s="39">
        <f t="shared" si="3"/>
        <v>1</v>
      </c>
      <c r="D65" s="97">
        <v>22</v>
      </c>
      <c r="E65" s="97">
        <v>11</v>
      </c>
      <c r="F65" s="98">
        <v>37400</v>
      </c>
      <c r="G65" s="98">
        <v>97</v>
      </c>
      <c r="H65" s="98">
        <v>1</v>
      </c>
      <c r="I65" s="98">
        <v>0</v>
      </c>
      <c r="J65" s="13"/>
      <c r="K65" s="13"/>
      <c r="L65" s="13"/>
      <c r="M65" s="13"/>
      <c r="V65">
        <f ca="1"/>
        <v>22</v>
      </c>
      <c r="W65">
        <f ca="1"/>
        <v>11</v>
      </c>
      <c r="X65">
        <f ca="1"/>
        <v>37400</v>
      </c>
      <c r="Y65">
        <f ca="1"/>
        <v>97</v>
      </c>
      <c r="Z65">
        <f ca="1"/>
        <v>1</v>
      </c>
      <c r="AA65">
        <f ca="1"/>
        <v>0</v>
      </c>
      <c r="AB65">
        <f ca="1"/>
        <v>22</v>
      </c>
      <c r="AC65">
        <f ca="1"/>
        <v>11</v>
      </c>
      <c r="AD65">
        <f ca="1"/>
        <v>37400</v>
      </c>
      <c r="AE65">
        <f ca="1"/>
        <v>97</v>
      </c>
      <c r="AF65">
        <f ca="1"/>
        <v>1</v>
      </c>
      <c r="AG65" t="str">
        <f ca="1"/>
        <v/>
      </c>
      <c r="AH65" t="str">
        <f ca="1"/>
        <v/>
      </c>
      <c r="AI65" t="str">
        <f ca="1"/>
        <v/>
      </c>
      <c r="AJ65" t="str">
        <f ca="1"/>
        <v/>
      </c>
      <c r="AK65" t="str">
        <f ca="1"/>
        <v/>
      </c>
      <c r="AL65" t="str">
        <f ca="1"/>
        <v/>
      </c>
      <c r="AM65" t="str">
        <f ca="1"/>
        <v/>
      </c>
      <c r="AN65" t="str">
        <f ca="1"/>
        <v/>
      </c>
    </row>
    <row r="66" spans="1:40" x14ac:dyDescent="0.25">
      <c r="A66" s="14">
        <f t="shared" si="4"/>
        <v>62</v>
      </c>
      <c r="B66" s="97">
        <v>16500</v>
      </c>
      <c r="C66" s="39">
        <f t="shared" si="3"/>
        <v>1</v>
      </c>
      <c r="D66" s="97">
        <v>27</v>
      </c>
      <c r="E66" s="97">
        <v>6</v>
      </c>
      <c r="F66" s="98">
        <v>37177</v>
      </c>
      <c r="G66" s="98">
        <v>110</v>
      </c>
      <c r="H66" s="98">
        <v>0</v>
      </c>
      <c r="I66" s="98">
        <v>0</v>
      </c>
      <c r="J66" s="13"/>
      <c r="K66" s="13"/>
      <c r="L66" s="13"/>
      <c r="M66" s="13"/>
      <c r="V66">
        <f ca="1"/>
        <v>27</v>
      </c>
      <c r="W66">
        <f ca="1"/>
        <v>6</v>
      </c>
      <c r="X66">
        <f ca="1"/>
        <v>37177</v>
      </c>
      <c r="Y66">
        <f ca="1"/>
        <v>110</v>
      </c>
      <c r="Z66">
        <f ca="1"/>
        <v>0</v>
      </c>
      <c r="AA66">
        <f ca="1"/>
        <v>0</v>
      </c>
      <c r="AB66">
        <f ca="1"/>
        <v>27</v>
      </c>
      <c r="AC66">
        <f ca="1"/>
        <v>6</v>
      </c>
      <c r="AD66">
        <f ca="1"/>
        <v>37177</v>
      </c>
      <c r="AE66">
        <f ca="1"/>
        <v>110</v>
      </c>
      <c r="AF66">
        <f ca="1"/>
        <v>0</v>
      </c>
      <c r="AG66" t="str">
        <f ca="1"/>
        <v/>
      </c>
      <c r="AH66" t="str">
        <f ca="1"/>
        <v/>
      </c>
      <c r="AI66" t="str">
        <f ca="1"/>
        <v/>
      </c>
      <c r="AJ66" t="str">
        <f ca="1"/>
        <v/>
      </c>
      <c r="AK66" t="str">
        <f ca="1"/>
        <v/>
      </c>
      <c r="AL66" t="str">
        <f ca="1"/>
        <v/>
      </c>
      <c r="AM66" t="str">
        <f ca="1"/>
        <v/>
      </c>
      <c r="AN66" t="str">
        <f ca="1"/>
        <v/>
      </c>
    </row>
    <row r="67" spans="1:40" x14ac:dyDescent="0.25">
      <c r="A67" s="14">
        <f t="shared" si="4"/>
        <v>63</v>
      </c>
      <c r="B67" s="97">
        <v>18750</v>
      </c>
      <c r="C67" s="39">
        <f t="shared" si="3"/>
        <v>1</v>
      </c>
      <c r="D67" s="97">
        <v>31</v>
      </c>
      <c r="E67" s="97">
        <v>2</v>
      </c>
      <c r="F67" s="98">
        <v>36544</v>
      </c>
      <c r="G67" s="98">
        <v>110</v>
      </c>
      <c r="H67" s="98">
        <v>1</v>
      </c>
      <c r="I67" s="98">
        <v>0</v>
      </c>
      <c r="J67" s="13"/>
      <c r="K67" s="13"/>
      <c r="L67" s="13"/>
      <c r="M67" s="13"/>
      <c r="V67">
        <f ca="1"/>
        <v>31</v>
      </c>
      <c r="W67">
        <f ca="1"/>
        <v>2</v>
      </c>
      <c r="X67">
        <f ca="1"/>
        <v>36544</v>
      </c>
      <c r="Y67">
        <f ca="1"/>
        <v>110</v>
      </c>
      <c r="Z67">
        <f ca="1"/>
        <v>1</v>
      </c>
      <c r="AA67">
        <f ca="1"/>
        <v>0</v>
      </c>
      <c r="AB67">
        <f ca="1"/>
        <v>31</v>
      </c>
      <c r="AC67">
        <f ca="1"/>
        <v>2</v>
      </c>
      <c r="AD67">
        <f ca="1"/>
        <v>36544</v>
      </c>
      <c r="AE67">
        <f ca="1"/>
        <v>110</v>
      </c>
      <c r="AF67">
        <f ca="1"/>
        <v>1</v>
      </c>
      <c r="AG67" t="str">
        <f ca="1"/>
        <v/>
      </c>
      <c r="AH67" t="str">
        <f ca="1"/>
        <v/>
      </c>
      <c r="AI67" t="str">
        <f ca="1"/>
        <v/>
      </c>
      <c r="AJ67" t="str">
        <f ca="1"/>
        <v/>
      </c>
      <c r="AK67" t="str">
        <f ca="1"/>
        <v/>
      </c>
      <c r="AL67" t="str">
        <f ca="1"/>
        <v/>
      </c>
      <c r="AM67" t="str">
        <f ca="1"/>
        <v/>
      </c>
      <c r="AN67" t="str">
        <f ca="1"/>
        <v/>
      </c>
    </row>
    <row r="68" spans="1:40" x14ac:dyDescent="0.25">
      <c r="A68" s="14">
        <f t="shared" si="4"/>
        <v>64</v>
      </c>
      <c r="B68" s="97">
        <v>17950</v>
      </c>
      <c r="C68" s="39">
        <f t="shared" si="3"/>
        <v>1</v>
      </c>
      <c r="D68" s="97">
        <v>30</v>
      </c>
      <c r="E68" s="97">
        <v>3</v>
      </c>
      <c r="F68" s="98">
        <v>33511</v>
      </c>
      <c r="G68" s="98">
        <v>110</v>
      </c>
      <c r="H68" s="98">
        <v>1</v>
      </c>
      <c r="I68" s="98">
        <v>0</v>
      </c>
      <c r="J68" s="13"/>
      <c r="K68" s="13"/>
      <c r="L68" s="13"/>
      <c r="M68" s="13"/>
      <c r="V68">
        <f ca="1"/>
        <v>30</v>
      </c>
      <c r="W68">
        <f ca="1"/>
        <v>3</v>
      </c>
      <c r="X68">
        <f ca="1"/>
        <v>33511</v>
      </c>
      <c r="Y68">
        <f ca="1"/>
        <v>110</v>
      </c>
      <c r="Z68">
        <f ca="1"/>
        <v>1</v>
      </c>
      <c r="AA68">
        <f ca="1"/>
        <v>0</v>
      </c>
      <c r="AB68">
        <f ca="1"/>
        <v>30</v>
      </c>
      <c r="AC68">
        <f ca="1"/>
        <v>3</v>
      </c>
      <c r="AD68">
        <f ca="1"/>
        <v>33511</v>
      </c>
      <c r="AE68">
        <f ca="1"/>
        <v>110</v>
      </c>
      <c r="AF68">
        <f ca="1"/>
        <v>1</v>
      </c>
      <c r="AG68" t="str">
        <f ca="1"/>
        <v/>
      </c>
      <c r="AH68" t="str">
        <f ca="1"/>
        <v/>
      </c>
      <c r="AI68" t="str">
        <f ca="1"/>
        <v/>
      </c>
      <c r="AJ68" t="str">
        <f ca="1"/>
        <v/>
      </c>
      <c r="AK68" t="str">
        <f ca="1"/>
        <v/>
      </c>
      <c r="AL68" t="str">
        <f ca="1"/>
        <v/>
      </c>
      <c r="AM68" t="str">
        <f ca="1"/>
        <v/>
      </c>
      <c r="AN68" t="str">
        <f ca="1"/>
        <v/>
      </c>
    </row>
    <row r="69" spans="1:40" x14ac:dyDescent="0.25">
      <c r="A69" s="14">
        <f t="shared" si="4"/>
        <v>65</v>
      </c>
      <c r="B69" s="97">
        <v>17950</v>
      </c>
      <c r="C69" s="39">
        <f t="shared" si="3"/>
        <v>1</v>
      </c>
      <c r="D69" s="97">
        <v>27</v>
      </c>
      <c r="E69" s="97">
        <v>6</v>
      </c>
      <c r="F69" s="98">
        <v>32809</v>
      </c>
      <c r="G69" s="98">
        <v>97</v>
      </c>
      <c r="H69" s="98">
        <v>1</v>
      </c>
      <c r="I69" s="98">
        <v>0</v>
      </c>
      <c r="J69" s="13"/>
      <c r="K69" s="13"/>
      <c r="L69" s="13"/>
      <c r="M69" s="13"/>
      <c r="V69">
        <f ca="1"/>
        <v>27</v>
      </c>
      <c r="W69">
        <f ca="1"/>
        <v>6</v>
      </c>
      <c r="X69">
        <f ca="1"/>
        <v>32809</v>
      </c>
      <c r="Y69">
        <f ca="1"/>
        <v>97</v>
      </c>
      <c r="Z69">
        <f ca="1"/>
        <v>1</v>
      </c>
      <c r="AA69">
        <f ca="1"/>
        <v>0</v>
      </c>
      <c r="AB69">
        <f ca="1"/>
        <v>27</v>
      </c>
      <c r="AC69">
        <f ca="1"/>
        <v>6</v>
      </c>
      <c r="AD69">
        <f ca="1"/>
        <v>32809</v>
      </c>
      <c r="AE69">
        <f ca="1"/>
        <v>97</v>
      </c>
      <c r="AF69">
        <f ca="1"/>
        <v>1</v>
      </c>
      <c r="AG69" t="str">
        <f ca="1"/>
        <v/>
      </c>
      <c r="AH69" t="str">
        <f ca="1"/>
        <v/>
      </c>
      <c r="AI69" t="str">
        <f ca="1"/>
        <v/>
      </c>
      <c r="AJ69" t="str">
        <f ca="1"/>
        <v/>
      </c>
      <c r="AK69" t="str">
        <f ca="1"/>
        <v/>
      </c>
      <c r="AL69" t="str">
        <f ca="1"/>
        <v/>
      </c>
      <c r="AM69" t="str">
        <f ca="1"/>
        <v/>
      </c>
      <c r="AN69" t="str">
        <f ca="1"/>
        <v/>
      </c>
    </row>
    <row r="70" spans="1:40" x14ac:dyDescent="0.25">
      <c r="A70" s="14">
        <f t="shared" si="4"/>
        <v>66</v>
      </c>
      <c r="B70" s="97">
        <v>16950</v>
      </c>
      <c r="C70" s="39">
        <f t="shared" ref="C70:C133" si="5">IF(B70&lt;&gt;"",1,"")</f>
        <v>1</v>
      </c>
      <c r="D70" s="97">
        <v>26</v>
      </c>
      <c r="E70" s="97">
        <v>7</v>
      </c>
      <c r="F70" s="98">
        <v>32181</v>
      </c>
      <c r="G70" s="98">
        <v>110</v>
      </c>
      <c r="H70" s="98">
        <v>1</v>
      </c>
      <c r="I70" s="98">
        <v>0</v>
      </c>
      <c r="J70" s="13"/>
      <c r="K70" s="13"/>
      <c r="L70" s="13"/>
      <c r="M70" s="13"/>
      <c r="V70">
        <f ca="1"/>
        <v>26</v>
      </c>
      <c r="W70">
        <f ca="1"/>
        <v>7</v>
      </c>
      <c r="X70">
        <f ca="1"/>
        <v>32181</v>
      </c>
      <c r="Y70">
        <f ca="1"/>
        <v>110</v>
      </c>
      <c r="Z70">
        <f ca="1"/>
        <v>1</v>
      </c>
      <c r="AA70">
        <f ca="1"/>
        <v>0</v>
      </c>
      <c r="AB70">
        <f ca="1"/>
        <v>26</v>
      </c>
      <c r="AC70">
        <f ca="1"/>
        <v>7</v>
      </c>
      <c r="AD70">
        <f ca="1"/>
        <v>32181</v>
      </c>
      <c r="AE70">
        <f ca="1"/>
        <v>110</v>
      </c>
      <c r="AF70">
        <f ca="1"/>
        <v>1</v>
      </c>
      <c r="AG70" t="str">
        <f ca="1"/>
        <v/>
      </c>
      <c r="AH70" t="str">
        <f ca="1"/>
        <v/>
      </c>
      <c r="AI70" t="str">
        <f ca="1"/>
        <v/>
      </c>
      <c r="AJ70" t="str">
        <f ca="1"/>
        <v/>
      </c>
      <c r="AK70" t="str">
        <f ca="1"/>
        <v/>
      </c>
      <c r="AL70" t="str">
        <f ca="1"/>
        <v/>
      </c>
      <c r="AM70" t="str">
        <f ca="1"/>
        <v/>
      </c>
      <c r="AN70" t="str">
        <f ca="1"/>
        <v/>
      </c>
    </row>
    <row r="71" spans="1:40" x14ac:dyDescent="0.25">
      <c r="A71" s="14">
        <f t="shared" ref="A71:A104" si="6">IF(B71&lt;&gt;"",1+A70,"")</f>
        <v>67</v>
      </c>
      <c r="B71" s="97">
        <v>18950</v>
      </c>
      <c r="C71" s="39">
        <f t="shared" si="5"/>
        <v>1</v>
      </c>
      <c r="D71" s="97">
        <v>28</v>
      </c>
      <c r="E71" s="97">
        <v>5</v>
      </c>
      <c r="F71" s="98">
        <v>30993</v>
      </c>
      <c r="G71" s="98">
        <v>110</v>
      </c>
      <c r="H71" s="98">
        <v>1</v>
      </c>
      <c r="I71" s="98">
        <v>0</v>
      </c>
      <c r="J71" s="13"/>
      <c r="K71" s="13"/>
      <c r="L71" s="13"/>
      <c r="M71" s="13"/>
      <c r="V71">
        <f ca="1"/>
        <v>28</v>
      </c>
      <c r="W71">
        <f ca="1"/>
        <v>5</v>
      </c>
      <c r="X71">
        <f ca="1"/>
        <v>30993</v>
      </c>
      <c r="Y71">
        <f ca="1"/>
        <v>110</v>
      </c>
      <c r="Z71">
        <f ca="1"/>
        <v>1</v>
      </c>
      <c r="AA71">
        <f ca="1"/>
        <v>0</v>
      </c>
      <c r="AB71">
        <f ca="1"/>
        <v>28</v>
      </c>
      <c r="AC71">
        <f ca="1"/>
        <v>5</v>
      </c>
      <c r="AD71">
        <f ca="1"/>
        <v>30993</v>
      </c>
      <c r="AE71">
        <f ca="1"/>
        <v>110</v>
      </c>
      <c r="AF71">
        <f ca="1"/>
        <v>1</v>
      </c>
      <c r="AG71" t="str">
        <f ca="1"/>
        <v/>
      </c>
      <c r="AH71" t="str">
        <f ca="1"/>
        <v/>
      </c>
      <c r="AI71" t="str">
        <f ca="1"/>
        <v/>
      </c>
      <c r="AJ71" t="str">
        <f ca="1"/>
        <v/>
      </c>
      <c r="AK71" t="str">
        <f ca="1"/>
        <v/>
      </c>
      <c r="AL71" t="str">
        <f ca="1"/>
        <v/>
      </c>
      <c r="AM71" t="str">
        <f ca="1"/>
        <v/>
      </c>
      <c r="AN71" t="str">
        <f ca="1"/>
        <v/>
      </c>
    </row>
    <row r="72" spans="1:40" x14ac:dyDescent="0.25">
      <c r="A72" s="14">
        <f t="shared" si="6"/>
        <v>68</v>
      </c>
      <c r="B72" s="97">
        <v>14950</v>
      </c>
      <c r="C72" s="39">
        <f t="shared" si="5"/>
        <v>1</v>
      </c>
      <c r="D72" s="97">
        <v>22</v>
      </c>
      <c r="E72" s="97">
        <v>11</v>
      </c>
      <c r="F72" s="98">
        <v>30400</v>
      </c>
      <c r="G72" s="98">
        <v>97</v>
      </c>
      <c r="H72" s="98">
        <v>1</v>
      </c>
      <c r="I72" s="98">
        <v>0</v>
      </c>
      <c r="J72" s="13"/>
      <c r="K72" s="13"/>
      <c r="L72" s="13"/>
      <c r="M72" s="13"/>
      <c r="V72">
        <f ca="1"/>
        <v>22</v>
      </c>
      <c r="W72">
        <f ca="1"/>
        <v>11</v>
      </c>
      <c r="X72">
        <f ca="1"/>
        <v>30400</v>
      </c>
      <c r="Y72">
        <f ca="1"/>
        <v>97</v>
      </c>
      <c r="Z72">
        <f ca="1"/>
        <v>1</v>
      </c>
      <c r="AA72">
        <f ca="1"/>
        <v>0</v>
      </c>
      <c r="AB72">
        <f ca="1"/>
        <v>22</v>
      </c>
      <c r="AC72">
        <f ca="1"/>
        <v>11</v>
      </c>
      <c r="AD72">
        <f ca="1"/>
        <v>30400</v>
      </c>
      <c r="AE72">
        <f ca="1"/>
        <v>97</v>
      </c>
      <c r="AF72">
        <f ca="1"/>
        <v>1</v>
      </c>
      <c r="AG72" t="str">
        <f ca="1"/>
        <v/>
      </c>
      <c r="AH72" t="str">
        <f ca="1"/>
        <v/>
      </c>
      <c r="AI72" t="str">
        <f ca="1"/>
        <v/>
      </c>
      <c r="AJ72" t="str">
        <f ca="1"/>
        <v/>
      </c>
      <c r="AK72" t="str">
        <f ca="1"/>
        <v/>
      </c>
      <c r="AL72" t="str">
        <f ca="1"/>
        <v/>
      </c>
      <c r="AM72" t="str">
        <f ca="1"/>
        <v/>
      </c>
      <c r="AN72" t="str">
        <f ca="1"/>
        <v/>
      </c>
    </row>
    <row r="73" spans="1:40" x14ac:dyDescent="0.25">
      <c r="A73" s="14">
        <f t="shared" si="6"/>
        <v>69</v>
      </c>
      <c r="B73" s="97">
        <v>22250</v>
      </c>
      <c r="C73" s="39">
        <f t="shared" si="5"/>
        <v>1</v>
      </c>
      <c r="D73" s="97">
        <v>22</v>
      </c>
      <c r="E73" s="97">
        <v>11</v>
      </c>
      <c r="F73" s="98">
        <v>30000</v>
      </c>
      <c r="G73" s="98">
        <v>110</v>
      </c>
      <c r="H73" s="98">
        <v>1</v>
      </c>
      <c r="I73" s="98">
        <v>0</v>
      </c>
      <c r="J73" s="13"/>
      <c r="K73" s="13"/>
      <c r="L73" s="13"/>
      <c r="M73" s="13"/>
      <c r="V73">
        <f ca="1"/>
        <v>22</v>
      </c>
      <c r="W73">
        <f ca="1"/>
        <v>11</v>
      </c>
      <c r="X73">
        <f ca="1"/>
        <v>30000</v>
      </c>
      <c r="Y73">
        <f ca="1"/>
        <v>110</v>
      </c>
      <c r="Z73">
        <f ca="1"/>
        <v>1</v>
      </c>
      <c r="AA73">
        <f ca="1"/>
        <v>0</v>
      </c>
      <c r="AB73">
        <f ca="1"/>
        <v>22</v>
      </c>
      <c r="AC73">
        <f ca="1"/>
        <v>11</v>
      </c>
      <c r="AD73">
        <f ca="1"/>
        <v>30000</v>
      </c>
      <c r="AE73">
        <f ca="1"/>
        <v>110</v>
      </c>
      <c r="AF73">
        <f ca="1"/>
        <v>1</v>
      </c>
      <c r="AG73" t="str">
        <f ca="1"/>
        <v/>
      </c>
      <c r="AH73" t="str">
        <f ca="1"/>
        <v/>
      </c>
      <c r="AI73" t="str">
        <f ca="1"/>
        <v/>
      </c>
      <c r="AJ73" t="str">
        <f ca="1"/>
        <v/>
      </c>
      <c r="AK73" t="str">
        <f ca="1"/>
        <v/>
      </c>
      <c r="AL73" t="str">
        <f ca="1"/>
        <v/>
      </c>
      <c r="AM73" t="str">
        <f ca="1"/>
        <v/>
      </c>
      <c r="AN73" t="str">
        <f ca="1"/>
        <v/>
      </c>
    </row>
    <row r="74" spans="1:40" x14ac:dyDescent="0.25">
      <c r="A74" s="14">
        <f t="shared" si="6"/>
        <v>70</v>
      </c>
      <c r="B74" s="97">
        <v>15950</v>
      </c>
      <c r="C74" s="39">
        <f t="shared" si="5"/>
        <v>1</v>
      </c>
      <c r="D74" s="97">
        <v>25</v>
      </c>
      <c r="E74" s="97">
        <v>8</v>
      </c>
      <c r="F74" s="98">
        <v>29719</v>
      </c>
      <c r="G74" s="98">
        <v>97</v>
      </c>
      <c r="H74" s="98">
        <v>1</v>
      </c>
      <c r="I74" s="98">
        <v>0</v>
      </c>
      <c r="J74" s="13"/>
      <c r="K74" s="13"/>
      <c r="L74" s="13"/>
      <c r="M74" s="13"/>
      <c r="V74">
        <f ca="1"/>
        <v>25</v>
      </c>
      <c r="W74">
        <f ca="1"/>
        <v>8</v>
      </c>
      <c r="X74">
        <f ca="1"/>
        <v>29719</v>
      </c>
      <c r="Y74">
        <f ca="1"/>
        <v>97</v>
      </c>
      <c r="Z74">
        <f ca="1"/>
        <v>1</v>
      </c>
      <c r="AA74">
        <f ca="1"/>
        <v>0</v>
      </c>
      <c r="AB74">
        <f ca="1"/>
        <v>25</v>
      </c>
      <c r="AC74">
        <f ca="1"/>
        <v>8</v>
      </c>
      <c r="AD74">
        <f ca="1"/>
        <v>29719</v>
      </c>
      <c r="AE74">
        <f ca="1"/>
        <v>97</v>
      </c>
      <c r="AF74">
        <f ca="1"/>
        <v>1</v>
      </c>
      <c r="AG74" t="str">
        <f ca="1"/>
        <v/>
      </c>
      <c r="AH74" t="str">
        <f ca="1"/>
        <v/>
      </c>
      <c r="AI74" t="str">
        <f ca="1"/>
        <v/>
      </c>
      <c r="AJ74" t="str">
        <f ca="1"/>
        <v/>
      </c>
      <c r="AK74" t="str">
        <f ca="1"/>
        <v/>
      </c>
      <c r="AL74" t="str">
        <f ca="1"/>
        <v/>
      </c>
      <c r="AM74" t="str">
        <f ca="1"/>
        <v/>
      </c>
      <c r="AN74" t="str">
        <f ca="1"/>
        <v/>
      </c>
    </row>
    <row r="75" spans="1:40" x14ac:dyDescent="0.25">
      <c r="A75" s="14">
        <f t="shared" si="6"/>
        <v>71</v>
      </c>
      <c r="B75" s="97">
        <v>15950</v>
      </c>
      <c r="C75" s="39">
        <f t="shared" si="5"/>
        <v>1</v>
      </c>
      <c r="D75" s="97">
        <v>28</v>
      </c>
      <c r="E75" s="97">
        <v>5</v>
      </c>
      <c r="F75" s="98">
        <v>29206</v>
      </c>
      <c r="G75" s="98">
        <v>97</v>
      </c>
      <c r="H75" s="98">
        <v>1</v>
      </c>
      <c r="I75" s="98">
        <v>0</v>
      </c>
      <c r="J75" s="13"/>
      <c r="K75" s="13"/>
      <c r="L75" s="13"/>
      <c r="M75" s="13"/>
      <c r="V75">
        <f ca="1"/>
        <v>28</v>
      </c>
      <c r="W75">
        <f ca="1"/>
        <v>5</v>
      </c>
      <c r="X75">
        <f ca="1"/>
        <v>29206</v>
      </c>
      <c r="Y75">
        <f ca="1"/>
        <v>97</v>
      </c>
      <c r="Z75">
        <f ca="1"/>
        <v>1</v>
      </c>
      <c r="AA75">
        <f ca="1"/>
        <v>0</v>
      </c>
      <c r="AB75">
        <f ca="1"/>
        <v>28</v>
      </c>
      <c r="AC75">
        <f ca="1"/>
        <v>5</v>
      </c>
      <c r="AD75">
        <f ca="1"/>
        <v>29206</v>
      </c>
      <c r="AE75">
        <f ca="1"/>
        <v>97</v>
      </c>
      <c r="AF75">
        <f ca="1"/>
        <v>1</v>
      </c>
      <c r="AG75" t="str">
        <f ca="1"/>
        <v/>
      </c>
      <c r="AH75" t="str">
        <f ca="1"/>
        <v/>
      </c>
      <c r="AI75" t="str">
        <f ca="1"/>
        <v/>
      </c>
      <c r="AJ75" t="str">
        <f ca="1"/>
        <v/>
      </c>
      <c r="AK75" t="str">
        <f ca="1"/>
        <v/>
      </c>
      <c r="AL75" t="str">
        <f ca="1"/>
        <v/>
      </c>
      <c r="AM75" t="str">
        <f ca="1"/>
        <v/>
      </c>
      <c r="AN75" t="str">
        <f ca="1"/>
        <v/>
      </c>
    </row>
    <row r="76" spans="1:40" x14ac:dyDescent="0.25">
      <c r="A76" s="14">
        <f t="shared" si="6"/>
        <v>72</v>
      </c>
      <c r="B76" s="97">
        <v>12995</v>
      </c>
      <c r="C76" s="39">
        <f t="shared" si="5"/>
        <v>1</v>
      </c>
      <c r="D76" s="97">
        <v>32</v>
      </c>
      <c r="E76" s="97">
        <v>1</v>
      </c>
      <c r="F76" s="98">
        <v>29198</v>
      </c>
      <c r="G76" s="98">
        <v>97</v>
      </c>
      <c r="H76" s="98">
        <v>1</v>
      </c>
      <c r="I76" s="98">
        <v>0</v>
      </c>
      <c r="J76" s="13"/>
      <c r="K76" s="13"/>
      <c r="L76" s="13"/>
      <c r="M76" s="13"/>
      <c r="V76">
        <f ca="1"/>
        <v>32</v>
      </c>
      <c r="W76">
        <f ca="1"/>
        <v>1</v>
      </c>
      <c r="X76">
        <f ca="1"/>
        <v>29198</v>
      </c>
      <c r="Y76">
        <f ca="1"/>
        <v>97</v>
      </c>
      <c r="Z76">
        <f ca="1"/>
        <v>1</v>
      </c>
      <c r="AA76">
        <f ca="1"/>
        <v>0</v>
      </c>
      <c r="AB76">
        <f ca="1"/>
        <v>32</v>
      </c>
      <c r="AC76">
        <f ca="1"/>
        <v>1</v>
      </c>
      <c r="AD76">
        <f ca="1"/>
        <v>29198</v>
      </c>
      <c r="AE76">
        <f ca="1"/>
        <v>97</v>
      </c>
      <c r="AF76">
        <f ca="1"/>
        <v>1</v>
      </c>
      <c r="AG76" t="str">
        <f ca="1"/>
        <v/>
      </c>
      <c r="AH76" t="str">
        <f ca="1"/>
        <v/>
      </c>
      <c r="AI76" t="str">
        <f ca="1"/>
        <v/>
      </c>
      <c r="AJ76" t="str">
        <f ca="1"/>
        <v/>
      </c>
      <c r="AK76" t="str">
        <f ca="1"/>
        <v/>
      </c>
      <c r="AL76" t="str">
        <f ca="1"/>
        <v/>
      </c>
      <c r="AM76" t="str">
        <f ca="1"/>
        <v/>
      </c>
      <c r="AN76" t="str">
        <f ca="1"/>
        <v/>
      </c>
    </row>
    <row r="77" spans="1:40" x14ac:dyDescent="0.25">
      <c r="A77" s="14">
        <f t="shared" si="6"/>
        <v>73</v>
      </c>
      <c r="B77" s="97">
        <v>18950</v>
      </c>
      <c r="C77" s="39">
        <f t="shared" si="5"/>
        <v>1</v>
      </c>
      <c r="D77" s="97">
        <v>28</v>
      </c>
      <c r="E77" s="97">
        <v>5</v>
      </c>
      <c r="F77" s="98">
        <v>28817</v>
      </c>
      <c r="G77" s="98">
        <v>110</v>
      </c>
      <c r="H77" s="98">
        <v>1</v>
      </c>
      <c r="I77" s="98">
        <v>0</v>
      </c>
      <c r="J77" s="13"/>
      <c r="K77" s="13"/>
      <c r="L77" s="13"/>
      <c r="M77" s="13"/>
      <c r="V77">
        <f ca="1"/>
        <v>28</v>
      </c>
      <c r="W77">
        <f ca="1"/>
        <v>5</v>
      </c>
      <c r="X77">
        <f ca="1"/>
        <v>28817</v>
      </c>
      <c r="Y77">
        <f ca="1"/>
        <v>110</v>
      </c>
      <c r="Z77">
        <f ca="1"/>
        <v>1</v>
      </c>
      <c r="AA77">
        <f ca="1"/>
        <v>0</v>
      </c>
      <c r="AB77">
        <f ca="1"/>
        <v>28</v>
      </c>
      <c r="AC77">
        <f ca="1"/>
        <v>5</v>
      </c>
      <c r="AD77">
        <f ca="1"/>
        <v>28817</v>
      </c>
      <c r="AE77">
        <f ca="1"/>
        <v>110</v>
      </c>
      <c r="AF77">
        <f ca="1"/>
        <v>1</v>
      </c>
      <c r="AG77" t="str">
        <f ca="1"/>
        <v/>
      </c>
      <c r="AH77" t="str">
        <f ca="1"/>
        <v/>
      </c>
      <c r="AI77" t="str">
        <f ca="1"/>
        <v/>
      </c>
      <c r="AJ77" t="str">
        <f ca="1"/>
        <v/>
      </c>
      <c r="AK77" t="str">
        <f ca="1"/>
        <v/>
      </c>
      <c r="AL77" t="str">
        <f ca="1"/>
        <v/>
      </c>
      <c r="AM77" t="str">
        <f ca="1"/>
        <v/>
      </c>
      <c r="AN77" t="str">
        <f ca="1"/>
        <v/>
      </c>
    </row>
    <row r="78" spans="1:40" x14ac:dyDescent="0.25">
      <c r="A78" s="14">
        <f t="shared" si="6"/>
        <v>74</v>
      </c>
      <c r="B78" s="97">
        <v>15750</v>
      </c>
      <c r="C78" s="39">
        <f t="shared" si="5"/>
        <v>1</v>
      </c>
      <c r="D78" s="97">
        <v>23</v>
      </c>
      <c r="E78" s="97">
        <v>10</v>
      </c>
      <c r="F78" s="98">
        <v>28227</v>
      </c>
      <c r="G78" s="98">
        <v>97</v>
      </c>
      <c r="H78" s="98">
        <v>1</v>
      </c>
      <c r="I78" s="98">
        <v>0</v>
      </c>
      <c r="J78" s="13"/>
      <c r="K78" s="13"/>
      <c r="L78" s="13"/>
      <c r="M78" s="13"/>
      <c r="V78">
        <f ca="1"/>
        <v>23</v>
      </c>
      <c r="W78">
        <f ca="1"/>
        <v>10</v>
      </c>
      <c r="X78">
        <f ca="1"/>
        <v>28227</v>
      </c>
      <c r="Y78">
        <f ca="1"/>
        <v>97</v>
      </c>
      <c r="Z78">
        <f ca="1"/>
        <v>1</v>
      </c>
      <c r="AA78">
        <f ca="1"/>
        <v>0</v>
      </c>
      <c r="AB78">
        <f ca="1"/>
        <v>23</v>
      </c>
      <c r="AC78">
        <f ca="1"/>
        <v>10</v>
      </c>
      <c r="AD78">
        <f ca="1"/>
        <v>28227</v>
      </c>
      <c r="AE78">
        <f ca="1"/>
        <v>97</v>
      </c>
      <c r="AF78">
        <f ca="1"/>
        <v>1</v>
      </c>
      <c r="AG78" t="str">
        <f ca="1"/>
        <v/>
      </c>
      <c r="AH78" t="str">
        <f ca="1"/>
        <v/>
      </c>
      <c r="AI78" t="str">
        <f ca="1"/>
        <v/>
      </c>
      <c r="AJ78" t="str">
        <f ca="1"/>
        <v/>
      </c>
      <c r="AK78" t="str">
        <f ca="1"/>
        <v/>
      </c>
      <c r="AL78" t="str">
        <f ca="1"/>
        <v/>
      </c>
      <c r="AM78" t="str">
        <f ca="1"/>
        <v/>
      </c>
      <c r="AN78" t="str">
        <f ca="1"/>
        <v/>
      </c>
    </row>
    <row r="79" spans="1:40" x14ac:dyDescent="0.25">
      <c r="A79" s="14">
        <f t="shared" si="6"/>
        <v>75</v>
      </c>
      <c r="B79" s="97">
        <v>19950</v>
      </c>
      <c r="C79" s="39">
        <f t="shared" si="5"/>
        <v>1</v>
      </c>
      <c r="D79" s="97">
        <v>28</v>
      </c>
      <c r="E79" s="97">
        <v>5</v>
      </c>
      <c r="F79" s="98">
        <v>28000</v>
      </c>
      <c r="G79" s="98">
        <v>110</v>
      </c>
      <c r="H79" s="98">
        <v>0</v>
      </c>
      <c r="I79" s="98">
        <v>0</v>
      </c>
      <c r="J79" s="13"/>
      <c r="K79" s="13"/>
      <c r="L79" s="13"/>
      <c r="M79" s="13"/>
      <c r="V79">
        <f ca="1"/>
        <v>28</v>
      </c>
      <c r="W79">
        <f ca="1"/>
        <v>5</v>
      </c>
      <c r="X79">
        <f ca="1"/>
        <v>28000</v>
      </c>
      <c r="Y79">
        <f ca="1"/>
        <v>110</v>
      </c>
      <c r="Z79">
        <f ca="1"/>
        <v>0</v>
      </c>
      <c r="AA79">
        <f ca="1"/>
        <v>0</v>
      </c>
      <c r="AB79">
        <f ca="1"/>
        <v>28</v>
      </c>
      <c r="AC79">
        <f ca="1"/>
        <v>5</v>
      </c>
      <c r="AD79">
        <f ca="1"/>
        <v>28000</v>
      </c>
      <c r="AE79">
        <f ca="1"/>
        <v>110</v>
      </c>
      <c r="AF79">
        <f ca="1"/>
        <v>0</v>
      </c>
      <c r="AG79" t="str">
        <f ca="1"/>
        <v/>
      </c>
      <c r="AH79" t="str">
        <f ca="1"/>
        <v/>
      </c>
      <c r="AI79" t="str">
        <f ca="1"/>
        <v/>
      </c>
      <c r="AJ79" t="str">
        <f ca="1"/>
        <v/>
      </c>
      <c r="AK79" t="str">
        <f ca="1"/>
        <v/>
      </c>
      <c r="AL79" t="str">
        <f ca="1"/>
        <v/>
      </c>
      <c r="AM79" t="str">
        <f ca="1"/>
        <v/>
      </c>
      <c r="AN79" t="str">
        <f ca="1"/>
        <v/>
      </c>
    </row>
    <row r="80" spans="1:40" x14ac:dyDescent="0.25">
      <c r="A80" s="14">
        <f t="shared" si="6"/>
        <v>76</v>
      </c>
      <c r="B80" s="97">
        <v>16950</v>
      </c>
      <c r="C80" s="39">
        <f t="shared" si="5"/>
        <v>1</v>
      </c>
      <c r="D80" s="97">
        <v>23</v>
      </c>
      <c r="E80" s="97">
        <v>10</v>
      </c>
      <c r="F80" s="98">
        <v>28000</v>
      </c>
      <c r="G80" s="98">
        <v>110</v>
      </c>
      <c r="H80" s="98">
        <v>1</v>
      </c>
      <c r="I80" s="98">
        <v>0</v>
      </c>
      <c r="J80" s="13"/>
      <c r="K80" s="13"/>
      <c r="L80" s="13"/>
      <c r="M80" s="13"/>
      <c r="V80">
        <f ca="1"/>
        <v>23</v>
      </c>
      <c r="W80">
        <f ca="1"/>
        <v>10</v>
      </c>
      <c r="X80">
        <f ca="1"/>
        <v>28000</v>
      </c>
      <c r="Y80">
        <f ca="1"/>
        <v>110</v>
      </c>
      <c r="Z80">
        <f ca="1"/>
        <v>1</v>
      </c>
      <c r="AA80">
        <f ca="1"/>
        <v>0</v>
      </c>
      <c r="AB80">
        <f ca="1"/>
        <v>23</v>
      </c>
      <c r="AC80">
        <f ca="1"/>
        <v>10</v>
      </c>
      <c r="AD80">
        <f ca="1"/>
        <v>28000</v>
      </c>
      <c r="AE80">
        <f ca="1"/>
        <v>110</v>
      </c>
      <c r="AF80">
        <f ca="1"/>
        <v>1</v>
      </c>
      <c r="AG80" t="str">
        <f ca="1"/>
        <v/>
      </c>
      <c r="AH80" t="str">
        <f ca="1"/>
        <v/>
      </c>
      <c r="AI80" t="str">
        <f ca="1"/>
        <v/>
      </c>
      <c r="AJ80" t="str">
        <f ca="1"/>
        <v/>
      </c>
      <c r="AK80" t="str">
        <f ca="1"/>
        <v/>
      </c>
      <c r="AL80" t="str">
        <f ca="1"/>
        <v/>
      </c>
      <c r="AM80" t="str">
        <f ca="1"/>
        <v/>
      </c>
      <c r="AN80" t="str">
        <f ca="1"/>
        <v/>
      </c>
    </row>
    <row r="81" spans="1:40" x14ac:dyDescent="0.25">
      <c r="A81" s="14">
        <f t="shared" si="6"/>
        <v>77</v>
      </c>
      <c r="B81" s="97">
        <v>18750</v>
      </c>
      <c r="C81" s="39">
        <f t="shared" si="5"/>
        <v>1</v>
      </c>
      <c r="D81" s="97">
        <v>31</v>
      </c>
      <c r="E81" s="97">
        <v>2</v>
      </c>
      <c r="F81" s="98">
        <v>25266</v>
      </c>
      <c r="G81" s="98">
        <v>110</v>
      </c>
      <c r="H81" s="98">
        <v>1</v>
      </c>
      <c r="I81" s="98">
        <v>0</v>
      </c>
      <c r="J81" s="13"/>
      <c r="K81" s="13"/>
      <c r="L81" s="13"/>
      <c r="M81" s="13"/>
      <c r="V81">
        <f ca="1"/>
        <v>31</v>
      </c>
      <c r="W81">
        <f ca="1"/>
        <v>2</v>
      </c>
      <c r="X81">
        <f ca="1"/>
        <v>25266</v>
      </c>
      <c r="Y81">
        <f ca="1"/>
        <v>110</v>
      </c>
      <c r="Z81">
        <f ca="1"/>
        <v>1</v>
      </c>
      <c r="AA81">
        <f ca="1"/>
        <v>0</v>
      </c>
      <c r="AB81">
        <f ca="1"/>
        <v>31</v>
      </c>
      <c r="AC81">
        <f ca="1"/>
        <v>2</v>
      </c>
      <c r="AD81">
        <f ca="1"/>
        <v>25266</v>
      </c>
      <c r="AE81">
        <f ca="1"/>
        <v>110</v>
      </c>
      <c r="AF81">
        <f ca="1"/>
        <v>1</v>
      </c>
      <c r="AG81" t="str">
        <f ca="1"/>
        <v/>
      </c>
      <c r="AH81" t="str">
        <f ca="1"/>
        <v/>
      </c>
      <c r="AI81" t="str">
        <f ca="1"/>
        <v/>
      </c>
      <c r="AJ81" t="str">
        <f ca="1"/>
        <v/>
      </c>
      <c r="AK81" t="str">
        <f ca="1"/>
        <v/>
      </c>
      <c r="AL81" t="str">
        <f ca="1"/>
        <v/>
      </c>
      <c r="AM81" t="str">
        <f ca="1"/>
        <v/>
      </c>
      <c r="AN81" t="str">
        <f ca="1"/>
        <v/>
      </c>
    </row>
    <row r="82" spans="1:40" x14ac:dyDescent="0.25">
      <c r="A82" s="14">
        <f t="shared" si="6"/>
        <v>78</v>
      </c>
      <c r="B82" s="97">
        <v>18450</v>
      </c>
      <c r="C82" s="39">
        <f t="shared" si="5"/>
        <v>1</v>
      </c>
      <c r="D82" s="97">
        <v>27</v>
      </c>
      <c r="E82" s="97">
        <v>6</v>
      </c>
      <c r="F82" s="98">
        <v>23489</v>
      </c>
      <c r="G82" s="98">
        <v>110</v>
      </c>
      <c r="H82" s="98">
        <v>0</v>
      </c>
      <c r="I82" s="98">
        <v>0</v>
      </c>
      <c r="J82" s="13"/>
      <c r="K82" s="13"/>
      <c r="L82" s="13"/>
      <c r="M82" s="13"/>
      <c r="V82">
        <f ca="1"/>
        <v>27</v>
      </c>
      <c r="W82">
        <f ca="1"/>
        <v>6</v>
      </c>
      <c r="X82">
        <f ca="1"/>
        <v>23489</v>
      </c>
      <c r="Y82">
        <f ca="1"/>
        <v>110</v>
      </c>
      <c r="Z82">
        <f ca="1"/>
        <v>0</v>
      </c>
      <c r="AA82">
        <f ca="1"/>
        <v>0</v>
      </c>
      <c r="AB82">
        <f ca="1"/>
        <v>27</v>
      </c>
      <c r="AC82">
        <f ca="1"/>
        <v>6</v>
      </c>
      <c r="AD82">
        <f ca="1"/>
        <v>23489</v>
      </c>
      <c r="AE82">
        <f ca="1"/>
        <v>110</v>
      </c>
      <c r="AF82">
        <f ca="1"/>
        <v>0</v>
      </c>
      <c r="AG82" t="str">
        <f ca="1"/>
        <v/>
      </c>
      <c r="AH82" t="str">
        <f ca="1"/>
        <v/>
      </c>
      <c r="AI82" t="str">
        <f ca="1"/>
        <v/>
      </c>
      <c r="AJ82" t="str">
        <f ca="1"/>
        <v/>
      </c>
      <c r="AK82" t="str">
        <f ca="1"/>
        <v/>
      </c>
      <c r="AL82" t="str">
        <f ca="1"/>
        <v/>
      </c>
      <c r="AM82" t="str">
        <f ca="1"/>
        <v/>
      </c>
      <c r="AN82" t="str">
        <f ca="1"/>
        <v/>
      </c>
    </row>
    <row r="83" spans="1:40" x14ac:dyDescent="0.25">
      <c r="A83" s="14">
        <f t="shared" si="6"/>
        <v>79</v>
      </c>
      <c r="B83" s="97">
        <v>16895</v>
      </c>
      <c r="C83" s="39">
        <f t="shared" si="5"/>
        <v>1</v>
      </c>
      <c r="D83" s="97">
        <v>29</v>
      </c>
      <c r="E83" s="97">
        <v>4</v>
      </c>
      <c r="F83" s="98">
        <v>22575</v>
      </c>
      <c r="G83" s="98">
        <v>110</v>
      </c>
      <c r="H83" s="98">
        <v>1</v>
      </c>
      <c r="I83" s="98">
        <v>0</v>
      </c>
      <c r="J83" s="13"/>
      <c r="K83" s="13"/>
      <c r="L83" s="13"/>
      <c r="M83" s="13"/>
      <c r="V83">
        <f ca="1"/>
        <v>29</v>
      </c>
      <c r="W83">
        <f ca="1"/>
        <v>4</v>
      </c>
      <c r="X83">
        <f ca="1"/>
        <v>22575</v>
      </c>
      <c r="Y83">
        <f ca="1"/>
        <v>110</v>
      </c>
      <c r="Z83">
        <f ca="1"/>
        <v>1</v>
      </c>
      <c r="AA83">
        <f ca="1"/>
        <v>0</v>
      </c>
      <c r="AB83">
        <f ca="1"/>
        <v>29</v>
      </c>
      <c r="AC83">
        <f ca="1"/>
        <v>4</v>
      </c>
      <c r="AD83">
        <f ca="1"/>
        <v>22575</v>
      </c>
      <c r="AE83">
        <f ca="1"/>
        <v>110</v>
      </c>
      <c r="AF83">
        <f ca="1"/>
        <v>1</v>
      </c>
      <c r="AG83" t="str">
        <f ca="1"/>
        <v/>
      </c>
      <c r="AH83" t="str">
        <f ca="1"/>
        <v/>
      </c>
      <c r="AI83" t="str">
        <f ca="1"/>
        <v/>
      </c>
      <c r="AJ83" t="str">
        <f ca="1"/>
        <v/>
      </c>
      <c r="AK83" t="str">
        <f ca="1"/>
        <v/>
      </c>
      <c r="AL83" t="str">
        <f ca="1"/>
        <v/>
      </c>
      <c r="AM83" t="str">
        <f ca="1"/>
        <v/>
      </c>
      <c r="AN83" t="str">
        <f ca="1"/>
        <v/>
      </c>
    </row>
    <row r="84" spans="1:40" x14ac:dyDescent="0.25">
      <c r="A84" s="14">
        <f t="shared" si="6"/>
        <v>80</v>
      </c>
      <c r="B84" s="97">
        <v>14900</v>
      </c>
      <c r="C84" s="39">
        <f t="shared" si="5"/>
        <v>1</v>
      </c>
      <c r="D84" s="97">
        <v>30</v>
      </c>
      <c r="E84" s="97">
        <v>3</v>
      </c>
      <c r="F84" s="98">
        <v>22000</v>
      </c>
      <c r="G84" s="98">
        <v>97</v>
      </c>
      <c r="H84" s="98">
        <v>1</v>
      </c>
      <c r="I84" s="98">
        <v>0</v>
      </c>
      <c r="J84" s="13"/>
      <c r="K84" s="13"/>
      <c r="L84" s="13"/>
      <c r="M84" s="13"/>
      <c r="V84">
        <f ca="1"/>
        <v>30</v>
      </c>
      <c r="W84">
        <f ca="1"/>
        <v>3</v>
      </c>
      <c r="X84">
        <f ca="1"/>
        <v>22000</v>
      </c>
      <c r="Y84">
        <f ca="1"/>
        <v>97</v>
      </c>
      <c r="Z84">
        <f ca="1"/>
        <v>1</v>
      </c>
      <c r="AA84">
        <f ca="1"/>
        <v>0</v>
      </c>
      <c r="AB84">
        <f ca="1"/>
        <v>30</v>
      </c>
      <c r="AC84">
        <f ca="1"/>
        <v>3</v>
      </c>
      <c r="AD84">
        <f ca="1"/>
        <v>22000</v>
      </c>
      <c r="AE84">
        <f ca="1"/>
        <v>97</v>
      </c>
      <c r="AF84">
        <f ca="1"/>
        <v>1</v>
      </c>
      <c r="AG84" t="str">
        <f ca="1"/>
        <v/>
      </c>
      <c r="AH84" t="str">
        <f ca="1"/>
        <v/>
      </c>
      <c r="AI84" t="str">
        <f ca="1"/>
        <v/>
      </c>
      <c r="AJ84" t="str">
        <f ca="1"/>
        <v/>
      </c>
      <c r="AK84" t="str">
        <f ca="1"/>
        <v/>
      </c>
      <c r="AL84" t="str">
        <f ca="1"/>
        <v/>
      </c>
      <c r="AM84" t="str">
        <f ca="1"/>
        <v/>
      </c>
      <c r="AN84" t="str">
        <f ca="1"/>
        <v/>
      </c>
    </row>
    <row r="85" spans="1:40" x14ac:dyDescent="0.25">
      <c r="A85" s="14">
        <f t="shared" si="6"/>
        <v>81</v>
      </c>
      <c r="B85" s="97">
        <v>18950</v>
      </c>
      <c r="C85" s="39">
        <f t="shared" si="5"/>
        <v>1</v>
      </c>
      <c r="D85" s="97">
        <v>25</v>
      </c>
      <c r="E85" s="97">
        <v>8</v>
      </c>
      <c r="F85" s="98">
        <v>20019</v>
      </c>
      <c r="G85" s="98">
        <v>110</v>
      </c>
      <c r="H85" s="98">
        <v>1</v>
      </c>
      <c r="I85" s="98">
        <v>1</v>
      </c>
      <c r="J85" s="13"/>
      <c r="K85" s="13"/>
      <c r="L85" s="13"/>
      <c r="M85" s="13"/>
      <c r="V85">
        <f ca="1"/>
        <v>25</v>
      </c>
      <c r="W85">
        <f ca="1"/>
        <v>8</v>
      </c>
      <c r="X85">
        <f ca="1"/>
        <v>20019</v>
      </c>
      <c r="Y85">
        <f ca="1"/>
        <v>110</v>
      </c>
      <c r="Z85">
        <f ca="1"/>
        <v>1</v>
      </c>
      <c r="AA85">
        <f ca="1"/>
        <v>1</v>
      </c>
      <c r="AB85">
        <f ca="1"/>
        <v>25</v>
      </c>
      <c r="AC85">
        <f ca="1"/>
        <v>8</v>
      </c>
      <c r="AD85">
        <f ca="1"/>
        <v>20019</v>
      </c>
      <c r="AE85">
        <f ca="1"/>
        <v>110</v>
      </c>
      <c r="AF85">
        <f ca="1"/>
        <v>1</v>
      </c>
      <c r="AG85" t="str">
        <f ca="1"/>
        <v/>
      </c>
      <c r="AH85" t="str">
        <f ca="1"/>
        <v/>
      </c>
      <c r="AI85" t="str">
        <f ca="1"/>
        <v/>
      </c>
      <c r="AJ85" t="str">
        <f ca="1"/>
        <v/>
      </c>
      <c r="AK85" t="str">
        <f ca="1"/>
        <v/>
      </c>
      <c r="AL85" t="str">
        <f ca="1"/>
        <v/>
      </c>
      <c r="AM85" t="str">
        <f ca="1"/>
        <v/>
      </c>
      <c r="AN85" t="str">
        <f ca="1"/>
        <v/>
      </c>
    </row>
    <row r="86" spans="1:40" x14ac:dyDescent="0.25">
      <c r="A86" s="14">
        <f t="shared" si="6"/>
        <v>82</v>
      </c>
      <c r="B86" s="97">
        <v>17250</v>
      </c>
      <c r="C86" s="39">
        <f t="shared" si="5"/>
        <v>1</v>
      </c>
      <c r="D86" s="97">
        <v>29</v>
      </c>
      <c r="E86" s="97">
        <v>4</v>
      </c>
      <c r="F86" s="98">
        <v>20000</v>
      </c>
      <c r="G86" s="98">
        <v>110</v>
      </c>
      <c r="H86" s="98">
        <v>1</v>
      </c>
      <c r="I86" s="98">
        <v>0</v>
      </c>
      <c r="J86" s="13"/>
      <c r="K86" s="13"/>
      <c r="L86" s="13"/>
      <c r="M86" s="13"/>
      <c r="V86">
        <f ca="1"/>
        <v>29</v>
      </c>
      <c r="W86">
        <f ca="1"/>
        <v>4</v>
      </c>
      <c r="X86">
        <f ca="1"/>
        <v>20000</v>
      </c>
      <c r="Y86">
        <f ca="1"/>
        <v>110</v>
      </c>
      <c r="Z86">
        <f ca="1"/>
        <v>1</v>
      </c>
      <c r="AA86">
        <f ca="1"/>
        <v>0</v>
      </c>
      <c r="AB86">
        <f ca="1"/>
        <v>29</v>
      </c>
      <c r="AC86">
        <f ca="1"/>
        <v>4</v>
      </c>
      <c r="AD86">
        <f ca="1"/>
        <v>20000</v>
      </c>
      <c r="AE86">
        <f ca="1"/>
        <v>110</v>
      </c>
      <c r="AF86">
        <f ca="1"/>
        <v>1</v>
      </c>
      <c r="AG86" t="str">
        <f ca="1"/>
        <v/>
      </c>
      <c r="AH86" t="str">
        <f ca="1"/>
        <v/>
      </c>
      <c r="AI86" t="str">
        <f ca="1"/>
        <v/>
      </c>
      <c r="AJ86" t="str">
        <f ca="1"/>
        <v/>
      </c>
      <c r="AK86" t="str">
        <f ca="1"/>
        <v/>
      </c>
      <c r="AL86" t="str">
        <f ca="1"/>
        <v/>
      </c>
      <c r="AM86" t="str">
        <f ca="1"/>
        <v/>
      </c>
      <c r="AN86" t="str">
        <f ca="1"/>
        <v/>
      </c>
    </row>
    <row r="87" spans="1:40" x14ac:dyDescent="0.25">
      <c r="A87" s="14">
        <f t="shared" si="6"/>
        <v>83</v>
      </c>
      <c r="B87" s="97">
        <v>15450</v>
      </c>
      <c r="C87" s="39">
        <f t="shared" si="5"/>
        <v>1</v>
      </c>
      <c r="D87" s="97">
        <v>25</v>
      </c>
      <c r="E87" s="97">
        <v>8</v>
      </c>
      <c r="F87" s="98">
        <v>17003</v>
      </c>
      <c r="G87" s="98">
        <v>97</v>
      </c>
      <c r="H87" s="98">
        <v>1</v>
      </c>
      <c r="I87" s="98">
        <v>0</v>
      </c>
      <c r="J87" s="13"/>
      <c r="K87" s="13"/>
      <c r="L87" s="13"/>
      <c r="M87" s="13"/>
      <c r="V87">
        <f ca="1"/>
        <v>25</v>
      </c>
      <c r="W87">
        <f ca="1"/>
        <v>8</v>
      </c>
      <c r="X87">
        <f ca="1"/>
        <v>17003</v>
      </c>
      <c r="Y87">
        <f ca="1"/>
        <v>97</v>
      </c>
      <c r="Z87">
        <f ca="1"/>
        <v>1</v>
      </c>
      <c r="AA87">
        <f ca="1"/>
        <v>0</v>
      </c>
      <c r="AB87">
        <f ca="1"/>
        <v>25</v>
      </c>
      <c r="AC87">
        <f ca="1"/>
        <v>8</v>
      </c>
      <c r="AD87">
        <f ca="1"/>
        <v>17003</v>
      </c>
      <c r="AE87">
        <f ca="1"/>
        <v>97</v>
      </c>
      <c r="AF87">
        <f ca="1"/>
        <v>1</v>
      </c>
      <c r="AG87" t="str">
        <f ca="1"/>
        <v/>
      </c>
      <c r="AH87" t="str">
        <f ca="1"/>
        <v/>
      </c>
      <c r="AI87" t="str">
        <f ca="1"/>
        <v/>
      </c>
      <c r="AJ87" t="str">
        <f ca="1"/>
        <v/>
      </c>
      <c r="AK87" t="str">
        <f ca="1"/>
        <v/>
      </c>
      <c r="AL87" t="str">
        <f ca="1"/>
        <v/>
      </c>
      <c r="AM87" t="str">
        <f ca="1"/>
        <v/>
      </c>
      <c r="AN87" t="str">
        <f ca="1"/>
        <v/>
      </c>
    </row>
    <row r="88" spans="1:40" x14ac:dyDescent="0.25">
      <c r="A88" s="14">
        <f t="shared" si="6"/>
        <v>84</v>
      </c>
      <c r="B88" s="97">
        <v>17950</v>
      </c>
      <c r="C88" s="39">
        <f t="shared" si="5"/>
        <v>1</v>
      </c>
      <c r="D88" s="97">
        <v>31</v>
      </c>
      <c r="E88" s="97">
        <v>2</v>
      </c>
      <c r="F88" s="98">
        <v>16238</v>
      </c>
      <c r="G88" s="98">
        <v>110</v>
      </c>
      <c r="H88" s="98">
        <v>1</v>
      </c>
      <c r="I88" s="98">
        <v>1</v>
      </c>
      <c r="J88" s="13"/>
      <c r="K88" s="13"/>
      <c r="L88" s="13"/>
      <c r="M88" s="13"/>
      <c r="V88">
        <f ca="1"/>
        <v>31</v>
      </c>
      <c r="W88">
        <f ca="1"/>
        <v>2</v>
      </c>
      <c r="X88">
        <f ca="1"/>
        <v>16238</v>
      </c>
      <c r="Y88">
        <f ca="1"/>
        <v>110</v>
      </c>
      <c r="Z88">
        <f ca="1"/>
        <v>1</v>
      </c>
      <c r="AA88">
        <f ca="1"/>
        <v>1</v>
      </c>
      <c r="AB88">
        <f ca="1"/>
        <v>31</v>
      </c>
      <c r="AC88">
        <f ca="1"/>
        <v>2</v>
      </c>
      <c r="AD88">
        <f ca="1"/>
        <v>16238</v>
      </c>
      <c r="AE88">
        <f ca="1"/>
        <v>110</v>
      </c>
      <c r="AF88">
        <f ca="1"/>
        <v>1</v>
      </c>
      <c r="AG88" t="str">
        <f ca="1"/>
        <v/>
      </c>
      <c r="AH88" t="str">
        <f ca="1"/>
        <v/>
      </c>
      <c r="AI88" t="str">
        <f ca="1"/>
        <v/>
      </c>
      <c r="AJ88" t="str">
        <f ca="1"/>
        <v/>
      </c>
      <c r="AK88" t="str">
        <f ca="1"/>
        <v/>
      </c>
      <c r="AL88" t="str">
        <f ca="1"/>
        <v/>
      </c>
      <c r="AM88" t="str">
        <f ca="1"/>
        <v/>
      </c>
      <c r="AN88" t="str">
        <f ca="1"/>
        <v/>
      </c>
    </row>
    <row r="89" spans="1:40" x14ac:dyDescent="0.25">
      <c r="A89" s="14">
        <f t="shared" si="6"/>
        <v>85</v>
      </c>
      <c r="B89" s="97">
        <v>16650</v>
      </c>
      <c r="C89" s="39">
        <f t="shared" si="5"/>
        <v>1</v>
      </c>
      <c r="D89" s="97">
        <v>25</v>
      </c>
      <c r="E89" s="97">
        <v>8</v>
      </c>
      <c r="F89" s="98">
        <v>15414</v>
      </c>
      <c r="G89" s="98">
        <v>97</v>
      </c>
      <c r="H89" s="98">
        <v>1</v>
      </c>
      <c r="I89" s="98">
        <v>0</v>
      </c>
      <c r="J89" s="13"/>
      <c r="K89" s="13"/>
      <c r="L89" s="13"/>
      <c r="M89" s="13"/>
      <c r="V89">
        <f ca="1"/>
        <v>25</v>
      </c>
      <c r="W89">
        <f ca="1"/>
        <v>8</v>
      </c>
      <c r="X89">
        <f ca="1"/>
        <v>15414</v>
      </c>
      <c r="Y89">
        <f ca="1"/>
        <v>97</v>
      </c>
      <c r="Z89">
        <f ca="1"/>
        <v>1</v>
      </c>
      <c r="AA89">
        <f ca="1"/>
        <v>0</v>
      </c>
      <c r="AB89">
        <f ca="1"/>
        <v>25</v>
      </c>
      <c r="AC89">
        <f ca="1"/>
        <v>8</v>
      </c>
      <c r="AD89">
        <f ca="1"/>
        <v>15414</v>
      </c>
      <c r="AE89">
        <f ca="1"/>
        <v>97</v>
      </c>
      <c r="AF89">
        <f ca="1"/>
        <v>1</v>
      </c>
      <c r="AG89" t="str">
        <f ca="1"/>
        <v/>
      </c>
      <c r="AH89" t="str">
        <f ca="1"/>
        <v/>
      </c>
      <c r="AI89" t="str">
        <f ca="1"/>
        <v/>
      </c>
      <c r="AJ89" t="str">
        <f ca="1"/>
        <v/>
      </c>
      <c r="AK89" t="str">
        <f ca="1"/>
        <v/>
      </c>
      <c r="AL89" t="str">
        <f ca="1"/>
        <v/>
      </c>
      <c r="AM89" t="str">
        <f ca="1"/>
        <v/>
      </c>
      <c r="AN89" t="str">
        <f ca="1"/>
        <v/>
      </c>
    </row>
    <row r="90" spans="1:40" x14ac:dyDescent="0.25">
      <c r="A90" s="14">
        <f t="shared" si="6"/>
        <v>86</v>
      </c>
      <c r="B90" s="97">
        <v>17450</v>
      </c>
      <c r="C90" s="39">
        <f t="shared" si="5"/>
        <v>1</v>
      </c>
      <c r="D90" s="97">
        <v>28</v>
      </c>
      <c r="E90" s="97">
        <v>5</v>
      </c>
      <c r="F90" s="98">
        <v>8537</v>
      </c>
      <c r="G90" s="98">
        <v>110</v>
      </c>
      <c r="H90" s="98">
        <v>1</v>
      </c>
      <c r="I90" s="98">
        <v>0</v>
      </c>
      <c r="J90" s="13"/>
      <c r="K90" s="13"/>
      <c r="L90" s="13"/>
      <c r="M90" s="13"/>
      <c r="V90">
        <f ca="1"/>
        <v>28</v>
      </c>
      <c r="W90">
        <f ca="1"/>
        <v>5</v>
      </c>
      <c r="X90">
        <f ca="1"/>
        <v>8537</v>
      </c>
      <c r="Y90">
        <f ca="1"/>
        <v>110</v>
      </c>
      <c r="Z90">
        <f ca="1"/>
        <v>1</v>
      </c>
      <c r="AA90">
        <f ca="1"/>
        <v>0</v>
      </c>
      <c r="AB90">
        <f ca="1"/>
        <v>28</v>
      </c>
      <c r="AC90">
        <f ca="1"/>
        <v>5</v>
      </c>
      <c r="AD90">
        <f ca="1"/>
        <v>8537</v>
      </c>
      <c r="AE90">
        <f ca="1"/>
        <v>110</v>
      </c>
      <c r="AF90">
        <f ca="1"/>
        <v>1</v>
      </c>
      <c r="AG90" t="str">
        <f ca="1"/>
        <v/>
      </c>
      <c r="AH90" t="str">
        <f ca="1"/>
        <v/>
      </c>
      <c r="AI90" t="str">
        <f ca="1"/>
        <v/>
      </c>
      <c r="AJ90" t="str">
        <f ca="1"/>
        <v/>
      </c>
      <c r="AK90" t="str">
        <f ca="1"/>
        <v/>
      </c>
      <c r="AL90" t="str">
        <f ca="1"/>
        <v/>
      </c>
      <c r="AM90" t="str">
        <f ca="1"/>
        <v/>
      </c>
      <c r="AN90" t="str">
        <f ca="1"/>
        <v/>
      </c>
    </row>
    <row r="91" spans="1:40" x14ac:dyDescent="0.25">
      <c r="A91" s="14">
        <f t="shared" si="6"/>
        <v>87</v>
      </c>
      <c r="B91" s="97">
        <v>14900</v>
      </c>
      <c r="C91" s="39">
        <f t="shared" si="5"/>
        <v>1</v>
      </c>
      <c r="D91" s="97">
        <v>30</v>
      </c>
      <c r="E91" s="97">
        <v>3</v>
      </c>
      <c r="F91" s="98">
        <v>7000</v>
      </c>
      <c r="G91" s="98">
        <v>97</v>
      </c>
      <c r="H91" s="98">
        <v>1</v>
      </c>
      <c r="I91" s="98">
        <v>0</v>
      </c>
      <c r="J91" s="13"/>
      <c r="K91" s="13"/>
      <c r="L91" s="13"/>
      <c r="M91" s="13"/>
      <c r="V91">
        <f ca="1"/>
        <v>30</v>
      </c>
      <c r="W91">
        <f ca="1"/>
        <v>3</v>
      </c>
      <c r="X91">
        <f ca="1"/>
        <v>7000</v>
      </c>
      <c r="Y91">
        <f ca="1"/>
        <v>97</v>
      </c>
      <c r="Z91">
        <f ca="1"/>
        <v>1</v>
      </c>
      <c r="AA91">
        <f ca="1"/>
        <v>0</v>
      </c>
      <c r="AB91">
        <f ca="1"/>
        <v>30</v>
      </c>
      <c r="AC91">
        <f ca="1"/>
        <v>3</v>
      </c>
      <c r="AD91">
        <f ca="1"/>
        <v>7000</v>
      </c>
      <c r="AE91">
        <f ca="1"/>
        <v>97</v>
      </c>
      <c r="AF91">
        <f ca="1"/>
        <v>1</v>
      </c>
      <c r="AG91" t="str">
        <f ca="1"/>
        <v/>
      </c>
      <c r="AH91" t="str">
        <f ca="1"/>
        <v/>
      </c>
      <c r="AI91" t="str">
        <f ca="1"/>
        <v/>
      </c>
      <c r="AJ91" t="str">
        <f ca="1"/>
        <v/>
      </c>
      <c r="AK91" t="str">
        <f ca="1"/>
        <v/>
      </c>
      <c r="AL91" t="str">
        <f ca="1"/>
        <v/>
      </c>
      <c r="AM91" t="str">
        <f ca="1"/>
        <v/>
      </c>
      <c r="AN91" t="str">
        <f ca="1"/>
        <v/>
      </c>
    </row>
    <row r="92" spans="1:40" x14ac:dyDescent="0.25">
      <c r="A92" s="14">
        <f t="shared" si="6"/>
        <v>88</v>
      </c>
      <c r="B92" s="97">
        <v>17950</v>
      </c>
      <c r="C92" s="39">
        <f t="shared" si="5"/>
        <v>1</v>
      </c>
      <c r="D92" s="97">
        <v>20</v>
      </c>
      <c r="E92" s="97">
        <v>1</v>
      </c>
      <c r="F92" s="98">
        <v>66966</v>
      </c>
      <c r="G92" s="98">
        <v>90</v>
      </c>
      <c r="H92" s="98">
        <v>1</v>
      </c>
      <c r="I92" s="98">
        <v>0</v>
      </c>
      <c r="J92" s="13"/>
      <c r="K92" s="13"/>
      <c r="L92" s="13"/>
      <c r="M92" s="13"/>
      <c r="V92">
        <f ca="1"/>
        <v>20</v>
      </c>
      <c r="W92">
        <f ca="1"/>
        <v>1</v>
      </c>
      <c r="X92">
        <f ca="1"/>
        <v>66966</v>
      </c>
      <c r="Y92">
        <f ca="1"/>
        <v>90</v>
      </c>
      <c r="Z92">
        <f ca="1"/>
        <v>1</v>
      </c>
      <c r="AA92">
        <f ca="1"/>
        <v>0</v>
      </c>
      <c r="AB92">
        <f ca="1"/>
        <v>20</v>
      </c>
      <c r="AC92">
        <f ca="1"/>
        <v>1</v>
      </c>
      <c r="AD92">
        <f ca="1"/>
        <v>66966</v>
      </c>
      <c r="AE92">
        <f ca="1"/>
        <v>90</v>
      </c>
      <c r="AF92">
        <f ca="1"/>
        <v>1</v>
      </c>
      <c r="AG92" t="str">
        <f ca="1"/>
        <v/>
      </c>
      <c r="AH92" t="str">
        <f ca="1"/>
        <v/>
      </c>
      <c r="AI92" t="str">
        <f ca="1"/>
        <v/>
      </c>
      <c r="AJ92" t="str">
        <f ca="1"/>
        <v/>
      </c>
      <c r="AK92" t="str">
        <f ca="1"/>
        <v/>
      </c>
      <c r="AL92" t="str">
        <f ca="1"/>
        <v/>
      </c>
      <c r="AM92" t="str">
        <f ca="1"/>
        <v/>
      </c>
      <c r="AN92" t="str">
        <f ca="1"/>
        <v/>
      </c>
    </row>
    <row r="93" spans="1:40" x14ac:dyDescent="0.25">
      <c r="A93" s="14">
        <f t="shared" si="6"/>
        <v>89</v>
      </c>
      <c r="B93" s="97">
        <v>15950</v>
      </c>
      <c r="C93" s="39">
        <f t="shared" si="5"/>
        <v>1</v>
      </c>
      <c r="D93" s="97">
        <v>19</v>
      </c>
      <c r="E93" s="97">
        <v>2</v>
      </c>
      <c r="F93" s="98">
        <v>51884</v>
      </c>
      <c r="G93" s="98">
        <v>97</v>
      </c>
      <c r="H93" s="98">
        <v>1</v>
      </c>
      <c r="I93" s="98">
        <v>0</v>
      </c>
      <c r="J93" s="13"/>
      <c r="K93" s="13"/>
      <c r="L93" s="13"/>
      <c r="M93" s="13"/>
      <c r="V93">
        <f ca="1"/>
        <v>19</v>
      </c>
      <c r="W93">
        <f ca="1"/>
        <v>2</v>
      </c>
      <c r="X93">
        <f ca="1"/>
        <v>51884</v>
      </c>
      <c r="Y93">
        <f ca="1"/>
        <v>97</v>
      </c>
      <c r="Z93">
        <f ca="1"/>
        <v>1</v>
      </c>
      <c r="AA93">
        <f ca="1"/>
        <v>0</v>
      </c>
      <c r="AB93">
        <f ca="1"/>
        <v>19</v>
      </c>
      <c r="AC93">
        <f ca="1"/>
        <v>2</v>
      </c>
      <c r="AD93">
        <f ca="1"/>
        <v>51884</v>
      </c>
      <c r="AE93">
        <f ca="1"/>
        <v>97</v>
      </c>
      <c r="AF93">
        <f ca="1"/>
        <v>1</v>
      </c>
      <c r="AG93" t="str">
        <f ca="1"/>
        <v/>
      </c>
      <c r="AH93" t="str">
        <f ca="1"/>
        <v/>
      </c>
      <c r="AI93" t="str">
        <f ca="1"/>
        <v/>
      </c>
      <c r="AJ93" t="str">
        <f ca="1"/>
        <v/>
      </c>
      <c r="AK93" t="str">
        <f ca="1"/>
        <v/>
      </c>
      <c r="AL93" t="str">
        <f ca="1"/>
        <v/>
      </c>
      <c r="AM93" t="str">
        <f ca="1"/>
        <v/>
      </c>
      <c r="AN93" t="str">
        <f ca="1"/>
        <v/>
      </c>
    </row>
    <row r="94" spans="1:40" x14ac:dyDescent="0.25">
      <c r="A94" s="14">
        <f t="shared" si="6"/>
        <v>90</v>
      </c>
      <c r="B94" s="97">
        <v>21950</v>
      </c>
      <c r="C94" s="39">
        <f t="shared" si="5"/>
        <v>1</v>
      </c>
      <c r="D94" s="97">
        <v>19</v>
      </c>
      <c r="E94" s="97">
        <v>2</v>
      </c>
      <c r="F94" s="98">
        <v>50005</v>
      </c>
      <c r="G94" s="98">
        <v>110</v>
      </c>
      <c r="H94" s="98">
        <v>1</v>
      </c>
      <c r="I94" s="98">
        <v>0</v>
      </c>
      <c r="J94" s="13"/>
      <c r="K94" s="13"/>
      <c r="L94" s="13"/>
      <c r="M94" s="13"/>
      <c r="V94">
        <f ca="1"/>
        <v>19</v>
      </c>
      <c r="W94">
        <f ca="1"/>
        <v>2</v>
      </c>
      <c r="X94">
        <f ca="1"/>
        <v>50005</v>
      </c>
      <c r="Y94">
        <f ca="1"/>
        <v>110</v>
      </c>
      <c r="Z94">
        <f ca="1"/>
        <v>1</v>
      </c>
      <c r="AA94">
        <f ca="1"/>
        <v>0</v>
      </c>
      <c r="AB94">
        <f ca="1"/>
        <v>19</v>
      </c>
      <c r="AC94">
        <f ca="1"/>
        <v>2</v>
      </c>
      <c r="AD94">
        <f ca="1"/>
        <v>50005</v>
      </c>
      <c r="AE94">
        <f ca="1"/>
        <v>110</v>
      </c>
      <c r="AF94">
        <f ca="1"/>
        <v>1</v>
      </c>
      <c r="AG94" t="str">
        <f ca="1"/>
        <v/>
      </c>
      <c r="AH94" t="str">
        <f ca="1"/>
        <v/>
      </c>
      <c r="AI94" t="str">
        <f ca="1"/>
        <v/>
      </c>
      <c r="AJ94" t="str">
        <f ca="1"/>
        <v/>
      </c>
      <c r="AK94" t="str">
        <f ca="1"/>
        <v/>
      </c>
      <c r="AL94" t="str">
        <f ca="1"/>
        <v/>
      </c>
      <c r="AM94" t="str">
        <f ca="1"/>
        <v/>
      </c>
      <c r="AN94" t="str">
        <f ca="1"/>
        <v/>
      </c>
    </row>
    <row r="95" spans="1:40" x14ac:dyDescent="0.25">
      <c r="A95" s="14">
        <f t="shared" si="6"/>
        <v>91</v>
      </c>
      <c r="B95" s="97">
        <v>16450</v>
      </c>
      <c r="C95" s="39">
        <f t="shared" si="5"/>
        <v>1</v>
      </c>
      <c r="D95" s="97">
        <v>20</v>
      </c>
      <c r="E95" s="97">
        <v>1</v>
      </c>
      <c r="F95" s="98">
        <v>48110</v>
      </c>
      <c r="G95" s="98">
        <v>97</v>
      </c>
      <c r="H95" s="98">
        <v>1</v>
      </c>
      <c r="I95" s="98">
        <v>0</v>
      </c>
      <c r="J95" s="13"/>
      <c r="K95" s="13"/>
      <c r="L95" s="13"/>
      <c r="M95" s="13"/>
      <c r="V95">
        <f ca="1"/>
        <v>20</v>
      </c>
      <c r="W95">
        <f ca="1"/>
        <v>1</v>
      </c>
      <c r="X95">
        <f ca="1"/>
        <v>48110</v>
      </c>
      <c r="Y95">
        <f ca="1"/>
        <v>97</v>
      </c>
      <c r="Z95">
        <f ca="1"/>
        <v>1</v>
      </c>
      <c r="AA95">
        <f ca="1"/>
        <v>0</v>
      </c>
      <c r="AB95">
        <f ca="1"/>
        <v>20</v>
      </c>
      <c r="AC95">
        <f ca="1"/>
        <v>1</v>
      </c>
      <c r="AD95">
        <f ca="1"/>
        <v>48110</v>
      </c>
      <c r="AE95">
        <f ca="1"/>
        <v>97</v>
      </c>
      <c r="AF95">
        <f ca="1"/>
        <v>1</v>
      </c>
      <c r="AG95" t="str">
        <f ca="1"/>
        <v/>
      </c>
      <c r="AH95" t="str">
        <f ca="1"/>
        <v/>
      </c>
      <c r="AI95" t="str">
        <f ca="1"/>
        <v/>
      </c>
      <c r="AJ95" t="str">
        <f ca="1"/>
        <v/>
      </c>
      <c r="AK95" t="str">
        <f ca="1"/>
        <v/>
      </c>
      <c r="AL95" t="str">
        <f ca="1"/>
        <v/>
      </c>
      <c r="AM95" t="str">
        <f ca="1"/>
        <v/>
      </c>
      <c r="AN95" t="str">
        <f ca="1"/>
        <v/>
      </c>
    </row>
    <row r="96" spans="1:40" x14ac:dyDescent="0.25">
      <c r="A96" s="14">
        <f t="shared" si="6"/>
        <v>92</v>
      </c>
      <c r="B96" s="97">
        <v>22250</v>
      </c>
      <c r="C96" s="39">
        <f t="shared" si="5"/>
        <v>1</v>
      </c>
      <c r="D96" s="97">
        <v>20</v>
      </c>
      <c r="E96" s="97">
        <v>1</v>
      </c>
      <c r="F96" s="98">
        <v>37500</v>
      </c>
      <c r="G96" s="98">
        <v>90</v>
      </c>
      <c r="H96" s="98">
        <v>1</v>
      </c>
      <c r="I96" s="98">
        <v>0</v>
      </c>
      <c r="J96" s="13"/>
      <c r="K96" s="13"/>
      <c r="L96" s="13"/>
      <c r="M96" s="13"/>
      <c r="V96">
        <f ca="1"/>
        <v>20</v>
      </c>
      <c r="W96">
        <f ca="1"/>
        <v>1</v>
      </c>
      <c r="X96">
        <f ca="1"/>
        <v>37500</v>
      </c>
      <c r="Y96">
        <f ca="1"/>
        <v>90</v>
      </c>
      <c r="Z96">
        <f ca="1"/>
        <v>1</v>
      </c>
      <c r="AA96">
        <f ca="1"/>
        <v>0</v>
      </c>
      <c r="AB96">
        <f ca="1"/>
        <v>20</v>
      </c>
      <c r="AC96">
        <f ca="1"/>
        <v>1</v>
      </c>
      <c r="AD96">
        <f ca="1"/>
        <v>37500</v>
      </c>
      <c r="AE96">
        <f ca="1"/>
        <v>90</v>
      </c>
      <c r="AF96">
        <f ca="1"/>
        <v>1</v>
      </c>
      <c r="AG96" t="str">
        <f ca="1"/>
        <v/>
      </c>
      <c r="AH96" t="str">
        <f ca="1"/>
        <v/>
      </c>
      <c r="AI96" t="str">
        <f ca="1"/>
        <v/>
      </c>
      <c r="AJ96" t="str">
        <f ca="1"/>
        <v/>
      </c>
      <c r="AK96" t="str">
        <f ca="1"/>
        <v/>
      </c>
      <c r="AL96" t="str">
        <f ca="1"/>
        <v/>
      </c>
      <c r="AM96" t="str">
        <f ca="1"/>
        <v/>
      </c>
      <c r="AN96" t="str">
        <f ca="1"/>
        <v/>
      </c>
    </row>
    <row r="97" spans="1:40" x14ac:dyDescent="0.25">
      <c r="A97" s="14">
        <f t="shared" si="6"/>
        <v>93</v>
      </c>
      <c r="B97" s="97">
        <v>19950</v>
      </c>
      <c r="C97" s="39">
        <f t="shared" si="5"/>
        <v>1</v>
      </c>
      <c r="D97" s="97">
        <v>16</v>
      </c>
      <c r="E97" s="97">
        <v>5</v>
      </c>
      <c r="F97" s="98">
        <v>34472</v>
      </c>
      <c r="G97" s="98">
        <v>90</v>
      </c>
      <c r="H97" s="98">
        <v>1</v>
      </c>
      <c r="I97" s="98">
        <v>0</v>
      </c>
      <c r="J97" s="13"/>
      <c r="K97" s="13"/>
      <c r="L97" s="13"/>
      <c r="M97" s="13"/>
      <c r="V97">
        <f ca="1"/>
        <v>16</v>
      </c>
      <c r="W97">
        <f ca="1"/>
        <v>5</v>
      </c>
      <c r="X97">
        <f ca="1"/>
        <v>34472</v>
      </c>
      <c r="Y97">
        <f ca="1"/>
        <v>90</v>
      </c>
      <c r="Z97">
        <f ca="1"/>
        <v>1</v>
      </c>
      <c r="AA97">
        <f ca="1"/>
        <v>0</v>
      </c>
      <c r="AB97">
        <f ca="1"/>
        <v>16</v>
      </c>
      <c r="AC97">
        <f ca="1"/>
        <v>5</v>
      </c>
      <c r="AD97">
        <f ca="1"/>
        <v>34472</v>
      </c>
      <c r="AE97">
        <f ca="1"/>
        <v>90</v>
      </c>
      <c r="AF97">
        <f ca="1"/>
        <v>1</v>
      </c>
      <c r="AG97" t="str">
        <f ca="1"/>
        <v/>
      </c>
      <c r="AH97" t="str">
        <f ca="1"/>
        <v/>
      </c>
      <c r="AI97" t="str">
        <f ca="1"/>
        <v/>
      </c>
      <c r="AJ97" t="str">
        <f ca="1"/>
        <v/>
      </c>
      <c r="AK97" t="str">
        <f ca="1"/>
        <v/>
      </c>
      <c r="AL97" t="str">
        <f ca="1"/>
        <v/>
      </c>
      <c r="AM97" t="str">
        <f ca="1"/>
        <v/>
      </c>
      <c r="AN97" t="str">
        <f ca="1"/>
        <v/>
      </c>
    </row>
    <row r="98" spans="1:40" x14ac:dyDescent="0.25">
      <c r="A98" s="14">
        <f t="shared" si="6"/>
        <v>94</v>
      </c>
      <c r="B98" s="97">
        <v>15950</v>
      </c>
      <c r="C98" s="39">
        <f t="shared" si="5"/>
        <v>1</v>
      </c>
      <c r="D98" s="97">
        <v>20</v>
      </c>
      <c r="E98" s="97">
        <v>1</v>
      </c>
      <c r="F98" s="98">
        <v>33329</v>
      </c>
      <c r="G98" s="98">
        <v>97</v>
      </c>
      <c r="H98" s="98">
        <v>1</v>
      </c>
      <c r="I98" s="98">
        <v>0</v>
      </c>
      <c r="J98" s="13"/>
      <c r="K98" s="13"/>
      <c r="L98" s="13"/>
      <c r="M98" s="13"/>
      <c r="V98">
        <f ca="1"/>
        <v>20</v>
      </c>
      <c r="W98">
        <f ca="1"/>
        <v>1</v>
      </c>
      <c r="X98">
        <f ca="1"/>
        <v>33329</v>
      </c>
      <c r="Y98">
        <f ca="1"/>
        <v>97</v>
      </c>
      <c r="Z98">
        <f ca="1"/>
        <v>1</v>
      </c>
      <c r="AA98">
        <f ca="1"/>
        <v>0</v>
      </c>
      <c r="AB98">
        <f ca="1"/>
        <v>20</v>
      </c>
      <c r="AC98">
        <f ca="1"/>
        <v>1</v>
      </c>
      <c r="AD98">
        <f ca="1"/>
        <v>33329</v>
      </c>
      <c r="AE98">
        <f ca="1"/>
        <v>97</v>
      </c>
      <c r="AF98">
        <f ca="1"/>
        <v>1</v>
      </c>
      <c r="AG98" t="str">
        <f ca="1"/>
        <v/>
      </c>
      <c r="AH98" t="str">
        <f ca="1"/>
        <v/>
      </c>
      <c r="AI98" t="str">
        <f ca="1"/>
        <v/>
      </c>
      <c r="AJ98" t="str">
        <f ca="1"/>
        <v/>
      </c>
      <c r="AK98" t="str">
        <f ca="1"/>
        <v/>
      </c>
      <c r="AL98" t="str">
        <f ca="1"/>
        <v/>
      </c>
      <c r="AM98" t="str">
        <f ca="1"/>
        <v/>
      </c>
      <c r="AN98" t="str">
        <f ca="1"/>
        <v/>
      </c>
    </row>
    <row r="99" spans="1:40" x14ac:dyDescent="0.25">
      <c r="A99" s="14">
        <f t="shared" si="6"/>
        <v>95</v>
      </c>
      <c r="B99" s="97">
        <v>18900</v>
      </c>
      <c r="C99" s="39">
        <f t="shared" si="5"/>
        <v>1</v>
      </c>
      <c r="D99" s="97">
        <v>20</v>
      </c>
      <c r="E99" s="97">
        <v>1</v>
      </c>
      <c r="F99" s="98">
        <v>31850</v>
      </c>
      <c r="G99" s="98">
        <v>110</v>
      </c>
      <c r="H99" s="98">
        <v>0</v>
      </c>
      <c r="I99" s="98">
        <v>0</v>
      </c>
      <c r="J99" s="13"/>
      <c r="K99" s="13"/>
      <c r="L99" s="13"/>
      <c r="M99" s="13"/>
      <c r="V99">
        <f ca="1"/>
        <v>20</v>
      </c>
      <c r="W99">
        <f ca="1"/>
        <v>1</v>
      </c>
      <c r="X99">
        <f ca="1"/>
        <v>31850</v>
      </c>
      <c r="Y99">
        <f ca="1"/>
        <v>110</v>
      </c>
      <c r="Z99">
        <f ca="1"/>
        <v>0</v>
      </c>
      <c r="AA99">
        <f ca="1"/>
        <v>0</v>
      </c>
      <c r="AB99">
        <f ca="1"/>
        <v>20</v>
      </c>
      <c r="AC99">
        <f ca="1"/>
        <v>1</v>
      </c>
      <c r="AD99">
        <f ca="1"/>
        <v>31850</v>
      </c>
      <c r="AE99">
        <f ca="1"/>
        <v>110</v>
      </c>
      <c r="AF99">
        <f ca="1"/>
        <v>0</v>
      </c>
      <c r="AG99" t="str">
        <f ca="1"/>
        <v/>
      </c>
      <c r="AH99" t="str">
        <f ca="1"/>
        <v/>
      </c>
      <c r="AI99" t="str">
        <f ca="1"/>
        <v/>
      </c>
      <c r="AJ99" t="str">
        <f ca="1"/>
        <v/>
      </c>
      <c r="AK99" t="str">
        <f ca="1"/>
        <v/>
      </c>
      <c r="AL99" t="str">
        <f ca="1"/>
        <v/>
      </c>
      <c r="AM99" t="str">
        <f ca="1"/>
        <v/>
      </c>
      <c r="AN99" t="str">
        <f ca="1"/>
        <v/>
      </c>
    </row>
    <row r="100" spans="1:40" x14ac:dyDescent="0.25">
      <c r="A100" s="14">
        <f t="shared" si="6"/>
        <v>96</v>
      </c>
      <c r="B100" s="97">
        <v>19950</v>
      </c>
      <c r="C100" s="39">
        <f t="shared" si="5"/>
        <v>1</v>
      </c>
      <c r="D100" s="97">
        <v>17</v>
      </c>
      <c r="E100" s="97">
        <v>4</v>
      </c>
      <c r="F100" s="98">
        <v>30351</v>
      </c>
      <c r="G100" s="98">
        <v>90</v>
      </c>
      <c r="H100" s="98">
        <v>1</v>
      </c>
      <c r="I100" s="98">
        <v>0</v>
      </c>
      <c r="J100" s="13"/>
      <c r="K100" s="13"/>
      <c r="L100" s="13"/>
      <c r="M100" s="13"/>
      <c r="V100">
        <f ca="1"/>
        <v>17</v>
      </c>
      <c r="W100">
        <f ca="1"/>
        <v>4</v>
      </c>
      <c r="X100">
        <f ca="1"/>
        <v>30351</v>
      </c>
      <c r="Y100">
        <f ca="1"/>
        <v>90</v>
      </c>
      <c r="Z100">
        <f ca="1"/>
        <v>1</v>
      </c>
      <c r="AA100">
        <f ca="1"/>
        <v>0</v>
      </c>
      <c r="AB100">
        <f ca="1"/>
        <v>17</v>
      </c>
      <c r="AC100">
        <f ca="1"/>
        <v>4</v>
      </c>
      <c r="AD100">
        <f ca="1"/>
        <v>30351</v>
      </c>
      <c r="AE100">
        <f ca="1"/>
        <v>90</v>
      </c>
      <c r="AF100">
        <f ca="1"/>
        <v>1</v>
      </c>
      <c r="AG100" t="str">
        <f ca="1"/>
        <v/>
      </c>
      <c r="AH100" t="str">
        <f ca="1"/>
        <v/>
      </c>
      <c r="AI100" t="str">
        <f ca="1"/>
        <v/>
      </c>
      <c r="AJ100" t="str">
        <f ca="1"/>
        <v/>
      </c>
      <c r="AK100" t="str">
        <f ca="1"/>
        <v/>
      </c>
      <c r="AL100" t="str">
        <f ca="1"/>
        <v/>
      </c>
      <c r="AM100" t="str">
        <f ca="1"/>
        <v/>
      </c>
      <c r="AN100" t="str">
        <f ca="1"/>
        <v/>
      </c>
    </row>
    <row r="101" spans="1:40" x14ac:dyDescent="0.25">
      <c r="A101" s="14">
        <f t="shared" si="6"/>
        <v>97</v>
      </c>
      <c r="B101" s="97">
        <v>15950</v>
      </c>
      <c r="C101" s="39">
        <f t="shared" si="5"/>
        <v>1</v>
      </c>
      <c r="D101" s="97">
        <v>19</v>
      </c>
      <c r="E101" s="97">
        <v>2</v>
      </c>
      <c r="F101" s="98">
        <v>29435</v>
      </c>
      <c r="G101" s="98">
        <v>97</v>
      </c>
      <c r="H101" s="98">
        <v>1</v>
      </c>
      <c r="I101" s="98">
        <v>0</v>
      </c>
      <c r="J101" s="13"/>
      <c r="K101" s="13"/>
      <c r="L101" s="13"/>
      <c r="M101" s="13"/>
      <c r="V101">
        <f ca="1"/>
        <v>19</v>
      </c>
      <c r="W101">
        <f ca="1"/>
        <v>2</v>
      </c>
      <c r="X101">
        <f ca="1"/>
        <v>29435</v>
      </c>
      <c r="Y101">
        <f ca="1"/>
        <v>97</v>
      </c>
      <c r="Z101">
        <f ca="1"/>
        <v>1</v>
      </c>
      <c r="AA101">
        <f ca="1"/>
        <v>0</v>
      </c>
      <c r="AB101">
        <f ca="1"/>
        <v>19</v>
      </c>
      <c r="AC101">
        <f ca="1"/>
        <v>2</v>
      </c>
      <c r="AD101">
        <f ca="1"/>
        <v>29435</v>
      </c>
      <c r="AE101">
        <f ca="1"/>
        <v>97</v>
      </c>
      <c r="AF101">
        <f ca="1"/>
        <v>1</v>
      </c>
      <c r="AG101" t="str">
        <f ca="1"/>
        <v/>
      </c>
      <c r="AH101" t="str">
        <f ca="1"/>
        <v/>
      </c>
      <c r="AI101" t="str">
        <f ca="1"/>
        <v/>
      </c>
      <c r="AJ101" t="str">
        <f ca="1"/>
        <v/>
      </c>
      <c r="AK101" t="str">
        <f ca="1"/>
        <v/>
      </c>
      <c r="AL101" t="str">
        <f ca="1"/>
        <v/>
      </c>
      <c r="AM101" t="str">
        <f ca="1"/>
        <v/>
      </c>
      <c r="AN101" t="str">
        <f ca="1"/>
        <v/>
      </c>
    </row>
    <row r="102" spans="1:40" x14ac:dyDescent="0.25">
      <c r="A102" s="14">
        <f t="shared" si="6"/>
        <v>98</v>
      </c>
      <c r="B102" s="97">
        <v>15950</v>
      </c>
      <c r="C102" s="39">
        <f t="shared" si="5"/>
        <v>1</v>
      </c>
      <c r="D102" s="97">
        <v>19</v>
      </c>
      <c r="E102" s="97">
        <v>2</v>
      </c>
      <c r="F102" s="98">
        <v>25948</v>
      </c>
      <c r="G102" s="98">
        <v>97</v>
      </c>
      <c r="H102" s="98">
        <v>1</v>
      </c>
      <c r="I102" s="98">
        <v>0</v>
      </c>
      <c r="J102" s="13"/>
      <c r="K102" s="13"/>
      <c r="L102" s="13"/>
      <c r="M102" s="13"/>
      <c r="V102">
        <f ca="1"/>
        <v>19</v>
      </c>
      <c r="W102">
        <f ca="1"/>
        <v>2</v>
      </c>
      <c r="X102">
        <f ca="1"/>
        <v>25948</v>
      </c>
      <c r="Y102">
        <f ca="1"/>
        <v>97</v>
      </c>
      <c r="Z102">
        <f ca="1"/>
        <v>1</v>
      </c>
      <c r="AA102">
        <f ca="1"/>
        <v>0</v>
      </c>
      <c r="AB102">
        <f ca="1"/>
        <v>19</v>
      </c>
      <c r="AC102">
        <f ca="1"/>
        <v>2</v>
      </c>
      <c r="AD102">
        <f ca="1"/>
        <v>25948</v>
      </c>
      <c r="AE102">
        <f ca="1"/>
        <v>97</v>
      </c>
      <c r="AF102">
        <f ca="1"/>
        <v>1</v>
      </c>
      <c r="AG102" t="str">
        <f ca="1"/>
        <v/>
      </c>
      <c r="AH102" t="str">
        <f ca="1"/>
        <v/>
      </c>
      <c r="AI102" t="str">
        <f ca="1"/>
        <v/>
      </c>
      <c r="AJ102" t="str">
        <f ca="1"/>
        <v/>
      </c>
      <c r="AK102" t="str">
        <f ca="1"/>
        <v/>
      </c>
      <c r="AL102" t="str">
        <f ca="1"/>
        <v/>
      </c>
      <c r="AM102" t="str">
        <f ca="1"/>
        <v/>
      </c>
      <c r="AN102" t="str">
        <f ca="1"/>
        <v/>
      </c>
    </row>
    <row r="103" spans="1:40" x14ac:dyDescent="0.25">
      <c r="A103" s="14">
        <f t="shared" si="6"/>
        <v>99</v>
      </c>
      <c r="B103" s="97">
        <v>18750</v>
      </c>
      <c r="C103" s="39">
        <f t="shared" si="5"/>
        <v>1</v>
      </c>
      <c r="D103" s="97">
        <v>11</v>
      </c>
      <c r="E103" s="97">
        <v>10</v>
      </c>
      <c r="F103" s="98">
        <v>24500</v>
      </c>
      <c r="G103" s="98">
        <v>110</v>
      </c>
      <c r="H103" s="98">
        <v>1</v>
      </c>
      <c r="I103" s="98">
        <v>0</v>
      </c>
      <c r="J103" s="13"/>
      <c r="K103" s="13"/>
      <c r="L103" s="13"/>
      <c r="M103" s="13"/>
      <c r="V103">
        <f ca="1"/>
        <v>11</v>
      </c>
      <c r="W103">
        <f ca="1"/>
        <v>10</v>
      </c>
      <c r="X103">
        <f ca="1"/>
        <v>24500</v>
      </c>
      <c r="Y103">
        <f ca="1"/>
        <v>110</v>
      </c>
      <c r="Z103">
        <f ca="1"/>
        <v>1</v>
      </c>
      <c r="AA103">
        <f ca="1"/>
        <v>0</v>
      </c>
      <c r="AB103">
        <f ca="1"/>
        <v>11</v>
      </c>
      <c r="AC103">
        <f ca="1"/>
        <v>10</v>
      </c>
      <c r="AD103">
        <f ca="1"/>
        <v>24500</v>
      </c>
      <c r="AE103">
        <f ca="1"/>
        <v>110</v>
      </c>
      <c r="AF103">
        <f ca="1"/>
        <v>1</v>
      </c>
      <c r="AG103" t="str">
        <f ca="1"/>
        <v/>
      </c>
      <c r="AH103" t="str">
        <f ca="1"/>
        <v/>
      </c>
      <c r="AI103" t="str">
        <f ca="1"/>
        <v/>
      </c>
      <c r="AJ103" t="str">
        <f ca="1"/>
        <v/>
      </c>
      <c r="AK103" t="str">
        <f ca="1"/>
        <v/>
      </c>
      <c r="AL103" t="str">
        <f ca="1"/>
        <v/>
      </c>
      <c r="AM103" t="str">
        <f ca="1"/>
        <v/>
      </c>
      <c r="AN103" t="str">
        <f ca="1"/>
        <v/>
      </c>
    </row>
    <row r="104" spans="1:40" x14ac:dyDescent="0.25">
      <c r="A104" s="14">
        <f t="shared" si="6"/>
        <v>100</v>
      </c>
      <c r="B104" s="97">
        <v>17450</v>
      </c>
      <c r="C104" s="39">
        <f t="shared" si="5"/>
        <v>1</v>
      </c>
      <c r="D104" s="97">
        <v>18</v>
      </c>
      <c r="E104" s="97">
        <v>3</v>
      </c>
      <c r="F104" s="98">
        <v>23902</v>
      </c>
      <c r="G104" s="98">
        <v>97</v>
      </c>
      <c r="H104" s="98">
        <v>1</v>
      </c>
      <c r="I104" s="98">
        <v>0</v>
      </c>
      <c r="J104" s="13"/>
      <c r="K104" s="13"/>
      <c r="L104" s="13"/>
      <c r="M104" s="13"/>
      <c r="V104">
        <f ca="1"/>
        <v>18</v>
      </c>
      <c r="W104">
        <f ca="1"/>
        <v>3</v>
      </c>
      <c r="X104">
        <f ca="1"/>
        <v>23902</v>
      </c>
      <c r="Y104">
        <f ca="1"/>
        <v>97</v>
      </c>
      <c r="Z104">
        <f ca="1"/>
        <v>1</v>
      </c>
      <c r="AA104">
        <f ca="1"/>
        <v>0</v>
      </c>
      <c r="AB104">
        <f ca="1"/>
        <v>18</v>
      </c>
      <c r="AC104">
        <f ca="1"/>
        <v>3</v>
      </c>
      <c r="AD104">
        <f ca="1"/>
        <v>23902</v>
      </c>
      <c r="AE104">
        <f ca="1"/>
        <v>97</v>
      </c>
      <c r="AF104">
        <f ca="1"/>
        <v>1</v>
      </c>
      <c r="AG104" t="str">
        <f ca="1"/>
        <v/>
      </c>
      <c r="AH104" t="str">
        <f ca="1"/>
        <v/>
      </c>
      <c r="AI104" t="str">
        <f ca="1"/>
        <v/>
      </c>
      <c r="AJ104" t="str">
        <f ca="1"/>
        <v/>
      </c>
      <c r="AK104" t="str">
        <f ca="1"/>
        <v/>
      </c>
      <c r="AL104" t="str">
        <f ca="1"/>
        <v/>
      </c>
      <c r="AM104" t="str">
        <f ca="1"/>
        <v/>
      </c>
      <c r="AN104" t="str">
        <f ca="1"/>
        <v/>
      </c>
    </row>
    <row r="105" spans="1:40" x14ac:dyDescent="0.25">
      <c r="A105" s="14">
        <f t="shared" ref="A105:A168" si="7">IF(B105&lt;&gt;"",1+A104,"")</f>
        <v>101</v>
      </c>
      <c r="B105" s="97">
        <v>18990</v>
      </c>
      <c r="C105" s="39">
        <f t="shared" si="5"/>
        <v>1</v>
      </c>
      <c r="D105" s="97">
        <v>20</v>
      </c>
      <c r="E105" s="97">
        <v>1</v>
      </c>
      <c r="F105" s="98">
        <v>23175</v>
      </c>
      <c r="G105" s="98">
        <v>110</v>
      </c>
      <c r="H105" s="98">
        <v>1</v>
      </c>
      <c r="I105" s="98">
        <v>0</v>
      </c>
      <c r="J105" s="13"/>
      <c r="K105" s="13"/>
      <c r="L105" s="13"/>
      <c r="M105" s="13"/>
      <c r="V105">
        <f ca="1"/>
        <v>20</v>
      </c>
      <c r="W105">
        <f ca="1"/>
        <v>1</v>
      </c>
      <c r="X105">
        <f ca="1"/>
        <v>23175</v>
      </c>
      <c r="Y105">
        <f ca="1"/>
        <v>110</v>
      </c>
      <c r="Z105">
        <f ca="1"/>
        <v>1</v>
      </c>
      <c r="AA105">
        <f ca="1"/>
        <v>0</v>
      </c>
      <c r="AB105">
        <f ca="1"/>
        <v>20</v>
      </c>
      <c r="AC105">
        <f ca="1"/>
        <v>1</v>
      </c>
      <c r="AD105">
        <f ca="1"/>
        <v>23175</v>
      </c>
      <c r="AE105">
        <f ca="1"/>
        <v>110</v>
      </c>
      <c r="AF105">
        <f ca="1"/>
        <v>1</v>
      </c>
      <c r="AG105" t="str">
        <f ca="1"/>
        <v/>
      </c>
      <c r="AH105" t="str">
        <f ca="1"/>
        <v/>
      </c>
      <c r="AI105" t="str">
        <f ca="1"/>
        <v/>
      </c>
      <c r="AJ105" t="str">
        <f ca="1"/>
        <v/>
      </c>
      <c r="AK105" t="str">
        <f ca="1"/>
        <v/>
      </c>
      <c r="AL105" t="str">
        <f ca="1"/>
        <v/>
      </c>
      <c r="AM105" t="str">
        <f ca="1"/>
        <v/>
      </c>
      <c r="AN105" t="str">
        <f ca="1"/>
        <v/>
      </c>
    </row>
    <row r="106" spans="1:40" x14ac:dyDescent="0.25">
      <c r="A106" s="14">
        <f t="shared" si="7"/>
        <v>102</v>
      </c>
      <c r="B106" s="97">
        <v>16250</v>
      </c>
      <c r="C106" s="39">
        <f t="shared" si="5"/>
        <v>1</v>
      </c>
      <c r="D106" s="97">
        <v>19</v>
      </c>
      <c r="E106" s="97">
        <v>2</v>
      </c>
      <c r="F106" s="98">
        <v>19200</v>
      </c>
      <c r="G106" s="98">
        <v>97</v>
      </c>
      <c r="H106" s="98">
        <v>1</v>
      </c>
      <c r="I106" s="98">
        <v>0</v>
      </c>
      <c r="J106" s="13"/>
      <c r="K106" s="13"/>
      <c r="L106" s="13"/>
      <c r="M106" s="13"/>
      <c r="V106">
        <f ca="1"/>
        <v>19</v>
      </c>
      <c r="W106">
        <f ca="1"/>
        <v>2</v>
      </c>
      <c r="X106">
        <f ca="1"/>
        <v>19200</v>
      </c>
      <c r="Y106">
        <f ca="1"/>
        <v>97</v>
      </c>
      <c r="Z106">
        <f ca="1"/>
        <v>1</v>
      </c>
      <c r="AA106">
        <f ca="1"/>
        <v>0</v>
      </c>
      <c r="AB106">
        <f ca="1"/>
        <v>19</v>
      </c>
      <c r="AC106">
        <f ca="1"/>
        <v>2</v>
      </c>
      <c r="AD106">
        <f ca="1"/>
        <v>19200</v>
      </c>
      <c r="AE106">
        <f ca="1"/>
        <v>97</v>
      </c>
      <c r="AF106">
        <f ca="1"/>
        <v>1</v>
      </c>
      <c r="AG106" t="str">
        <f ca="1"/>
        <v/>
      </c>
      <c r="AH106" t="str">
        <f ca="1"/>
        <v/>
      </c>
      <c r="AI106" t="str">
        <f ca="1"/>
        <v/>
      </c>
      <c r="AJ106" t="str">
        <f ca="1"/>
        <v/>
      </c>
      <c r="AK106" t="str">
        <f ca="1"/>
        <v/>
      </c>
      <c r="AL106" t="str">
        <f ca="1"/>
        <v/>
      </c>
      <c r="AM106" t="str">
        <f ca="1"/>
        <v/>
      </c>
      <c r="AN106" t="str">
        <f ca="1"/>
        <v/>
      </c>
    </row>
    <row r="107" spans="1:40" x14ac:dyDescent="0.25">
      <c r="A107" s="14">
        <f t="shared" si="7"/>
        <v>103</v>
      </c>
      <c r="B107" s="97">
        <v>18500</v>
      </c>
      <c r="C107" s="39">
        <f t="shared" si="5"/>
        <v>1</v>
      </c>
      <c r="D107" s="97">
        <v>13</v>
      </c>
      <c r="E107" s="97">
        <v>8</v>
      </c>
      <c r="F107" s="98">
        <v>18000</v>
      </c>
      <c r="G107" s="98">
        <v>71</v>
      </c>
      <c r="H107" s="98">
        <v>0</v>
      </c>
      <c r="I107" s="98">
        <v>0</v>
      </c>
      <c r="J107" s="13"/>
      <c r="K107" s="13"/>
      <c r="L107" s="13"/>
      <c r="M107" s="13"/>
      <c r="V107">
        <f ca="1"/>
        <v>13</v>
      </c>
      <c r="W107">
        <f ca="1"/>
        <v>8</v>
      </c>
      <c r="X107">
        <f ca="1"/>
        <v>18000</v>
      </c>
      <c r="Y107">
        <f ca="1"/>
        <v>71</v>
      </c>
      <c r="Z107">
        <f ca="1"/>
        <v>0</v>
      </c>
      <c r="AA107">
        <f ca="1"/>
        <v>0</v>
      </c>
      <c r="AB107">
        <f ca="1"/>
        <v>13</v>
      </c>
      <c r="AC107">
        <f ca="1"/>
        <v>8</v>
      </c>
      <c r="AD107">
        <f ca="1"/>
        <v>18000</v>
      </c>
      <c r="AE107">
        <f ca="1"/>
        <v>71</v>
      </c>
      <c r="AF107">
        <f ca="1"/>
        <v>0</v>
      </c>
      <c r="AG107" t="str">
        <f ca="1"/>
        <v/>
      </c>
      <c r="AH107" t="str">
        <f ca="1"/>
        <v/>
      </c>
      <c r="AI107" t="str">
        <f ca="1"/>
        <v/>
      </c>
      <c r="AJ107" t="str">
        <f ca="1"/>
        <v/>
      </c>
      <c r="AK107" t="str">
        <f ca="1"/>
        <v/>
      </c>
      <c r="AL107" t="str">
        <f ca="1"/>
        <v/>
      </c>
      <c r="AM107" t="str">
        <f ca="1"/>
        <v/>
      </c>
      <c r="AN107" t="str">
        <f ca="1"/>
        <v/>
      </c>
    </row>
    <row r="108" spans="1:40" x14ac:dyDescent="0.25">
      <c r="A108" s="14">
        <f t="shared" si="7"/>
        <v>104</v>
      </c>
      <c r="B108" s="97">
        <v>18500</v>
      </c>
      <c r="C108" s="39">
        <f t="shared" si="5"/>
        <v>1</v>
      </c>
      <c r="D108" s="97">
        <v>11</v>
      </c>
      <c r="E108" s="97">
        <v>10</v>
      </c>
      <c r="F108" s="98">
        <v>16123</v>
      </c>
      <c r="G108" s="98">
        <v>110</v>
      </c>
      <c r="H108" s="98">
        <v>1</v>
      </c>
      <c r="I108" s="98">
        <v>0</v>
      </c>
      <c r="J108" s="13"/>
      <c r="K108" s="13"/>
      <c r="L108" s="13"/>
      <c r="M108" s="13"/>
      <c r="V108">
        <f ca="1"/>
        <v>11</v>
      </c>
      <c r="W108">
        <f ca="1"/>
        <v>10</v>
      </c>
      <c r="X108">
        <f ca="1"/>
        <v>16123</v>
      </c>
      <c r="Y108">
        <f ca="1"/>
        <v>110</v>
      </c>
      <c r="Z108">
        <f ca="1"/>
        <v>1</v>
      </c>
      <c r="AA108">
        <f ca="1"/>
        <v>0</v>
      </c>
      <c r="AB108">
        <f ca="1"/>
        <v>11</v>
      </c>
      <c r="AC108">
        <f ca="1"/>
        <v>10</v>
      </c>
      <c r="AD108">
        <f ca="1"/>
        <v>16123</v>
      </c>
      <c r="AE108">
        <f ca="1"/>
        <v>110</v>
      </c>
      <c r="AF108">
        <f ca="1"/>
        <v>1</v>
      </c>
      <c r="AG108" t="str">
        <f ca="1"/>
        <v/>
      </c>
      <c r="AH108" t="str">
        <f ca="1"/>
        <v/>
      </c>
      <c r="AI108" t="str">
        <f ca="1"/>
        <v/>
      </c>
      <c r="AJ108" t="str">
        <f ca="1"/>
        <v/>
      </c>
      <c r="AK108" t="str">
        <f ca="1"/>
        <v/>
      </c>
      <c r="AL108" t="str">
        <f ca="1"/>
        <v/>
      </c>
      <c r="AM108" t="str">
        <f ca="1"/>
        <v/>
      </c>
      <c r="AN108" t="str">
        <f ca="1"/>
        <v/>
      </c>
    </row>
    <row r="109" spans="1:40" x14ac:dyDescent="0.25">
      <c r="A109" s="14">
        <f t="shared" si="7"/>
        <v>105</v>
      </c>
      <c r="B109" s="97">
        <v>19450</v>
      </c>
      <c r="C109" s="39">
        <f t="shared" si="5"/>
        <v>1</v>
      </c>
      <c r="D109" s="97">
        <v>11</v>
      </c>
      <c r="E109" s="97">
        <v>10</v>
      </c>
      <c r="F109" s="98">
        <v>14635</v>
      </c>
      <c r="G109" s="98">
        <v>110</v>
      </c>
      <c r="H109" s="98">
        <v>1</v>
      </c>
      <c r="I109" s="98">
        <v>1</v>
      </c>
      <c r="J109" s="13"/>
      <c r="K109" s="13"/>
      <c r="L109" s="13"/>
      <c r="M109" s="13"/>
      <c r="V109">
        <f ca="1"/>
        <v>11</v>
      </c>
      <c r="W109">
        <f ca="1"/>
        <v>10</v>
      </c>
      <c r="X109">
        <f ca="1"/>
        <v>14635</v>
      </c>
      <c r="Y109">
        <f ca="1"/>
        <v>110</v>
      </c>
      <c r="Z109">
        <f ca="1"/>
        <v>1</v>
      </c>
      <c r="AA109">
        <f ca="1"/>
        <v>1</v>
      </c>
      <c r="AB109">
        <f ca="1"/>
        <v>11</v>
      </c>
      <c r="AC109">
        <f ca="1"/>
        <v>10</v>
      </c>
      <c r="AD109">
        <f ca="1"/>
        <v>14635</v>
      </c>
      <c r="AE109">
        <f ca="1"/>
        <v>110</v>
      </c>
      <c r="AF109">
        <f ca="1"/>
        <v>1</v>
      </c>
      <c r="AG109" t="str">
        <f ca="1"/>
        <v/>
      </c>
      <c r="AH109" t="str">
        <f ca="1"/>
        <v/>
      </c>
      <c r="AI109" t="str">
        <f ca="1"/>
        <v/>
      </c>
      <c r="AJ109" t="str">
        <f ca="1"/>
        <v/>
      </c>
      <c r="AK109" t="str">
        <f ca="1"/>
        <v/>
      </c>
      <c r="AL109" t="str">
        <f ca="1"/>
        <v/>
      </c>
      <c r="AM109" t="str">
        <f ca="1"/>
        <v/>
      </c>
      <c r="AN109" t="str">
        <f ca="1"/>
        <v/>
      </c>
    </row>
    <row r="110" spans="1:40" x14ac:dyDescent="0.25">
      <c r="A110" s="14">
        <f t="shared" si="7"/>
        <v>106</v>
      </c>
      <c r="B110" s="97">
        <v>16950</v>
      </c>
      <c r="C110" s="39">
        <f t="shared" si="5"/>
        <v>1</v>
      </c>
      <c r="D110" s="97">
        <v>19</v>
      </c>
      <c r="E110" s="97">
        <v>2</v>
      </c>
      <c r="F110" s="98">
        <v>13748</v>
      </c>
      <c r="G110" s="98">
        <v>97</v>
      </c>
      <c r="H110" s="98">
        <v>1</v>
      </c>
      <c r="I110" s="98">
        <v>0</v>
      </c>
      <c r="J110" s="13"/>
      <c r="K110" s="13"/>
      <c r="L110" s="13"/>
      <c r="M110" s="13"/>
      <c r="V110">
        <f ca="1"/>
        <v>19</v>
      </c>
      <c r="W110">
        <f ca="1"/>
        <v>2</v>
      </c>
      <c r="X110">
        <f ca="1"/>
        <v>13748</v>
      </c>
      <c r="Y110">
        <f ca="1"/>
        <v>97</v>
      </c>
      <c r="Z110">
        <f ca="1"/>
        <v>1</v>
      </c>
      <c r="AA110">
        <f ca="1"/>
        <v>0</v>
      </c>
      <c r="AB110">
        <f ca="1"/>
        <v>19</v>
      </c>
      <c r="AC110">
        <f ca="1"/>
        <v>2</v>
      </c>
      <c r="AD110">
        <f ca="1"/>
        <v>13748</v>
      </c>
      <c r="AE110">
        <f ca="1"/>
        <v>97</v>
      </c>
      <c r="AF110">
        <f ca="1"/>
        <v>1</v>
      </c>
      <c r="AG110" t="str">
        <f ca="1"/>
        <v/>
      </c>
      <c r="AH110" t="str">
        <f ca="1"/>
        <v/>
      </c>
      <c r="AI110" t="str">
        <f ca="1"/>
        <v/>
      </c>
      <c r="AJ110" t="str">
        <f ca="1"/>
        <v/>
      </c>
      <c r="AK110" t="str">
        <f ca="1"/>
        <v/>
      </c>
      <c r="AL110" t="str">
        <f ca="1"/>
        <v/>
      </c>
      <c r="AM110" t="str">
        <f ca="1"/>
        <v/>
      </c>
      <c r="AN110" t="str">
        <f ca="1"/>
        <v/>
      </c>
    </row>
    <row r="111" spans="1:40" x14ac:dyDescent="0.25">
      <c r="A111" s="14">
        <f t="shared" si="7"/>
        <v>107</v>
      </c>
      <c r="B111" s="97">
        <v>18800</v>
      </c>
      <c r="C111" s="39">
        <f t="shared" si="5"/>
        <v>1</v>
      </c>
      <c r="D111" s="97">
        <v>14</v>
      </c>
      <c r="E111" s="97">
        <v>7</v>
      </c>
      <c r="F111" s="98">
        <v>11500</v>
      </c>
      <c r="G111" s="98">
        <v>110</v>
      </c>
      <c r="H111" s="98">
        <v>1</v>
      </c>
      <c r="I111" s="98">
        <v>0</v>
      </c>
      <c r="J111" s="13"/>
      <c r="K111" s="13"/>
      <c r="L111" s="13"/>
      <c r="M111" s="13"/>
      <c r="V111">
        <f ca="1"/>
        <v>14</v>
      </c>
      <c r="W111">
        <f ca="1"/>
        <v>7</v>
      </c>
      <c r="X111">
        <f ca="1"/>
        <v>11500</v>
      </c>
      <c r="Y111">
        <f ca="1"/>
        <v>110</v>
      </c>
      <c r="Z111">
        <f ca="1"/>
        <v>1</v>
      </c>
      <c r="AA111">
        <f ca="1"/>
        <v>0</v>
      </c>
      <c r="AB111">
        <f ca="1"/>
        <v>14</v>
      </c>
      <c r="AC111">
        <f ca="1"/>
        <v>7</v>
      </c>
      <c r="AD111">
        <f ca="1"/>
        <v>11500</v>
      </c>
      <c r="AE111">
        <f ca="1"/>
        <v>110</v>
      </c>
      <c r="AF111">
        <f ca="1"/>
        <v>1</v>
      </c>
      <c r="AG111" t="str">
        <f ca="1"/>
        <v/>
      </c>
      <c r="AH111" t="str">
        <f ca="1"/>
        <v/>
      </c>
      <c r="AI111" t="str">
        <f ca="1"/>
        <v/>
      </c>
      <c r="AJ111" t="str">
        <f ca="1"/>
        <v/>
      </c>
      <c r="AK111" t="str">
        <f ca="1"/>
        <v/>
      </c>
      <c r="AL111" t="str">
        <f ca="1"/>
        <v/>
      </c>
      <c r="AM111" t="str">
        <f ca="1"/>
        <v/>
      </c>
      <c r="AN111" t="str">
        <f ca="1"/>
        <v/>
      </c>
    </row>
    <row r="112" spans="1:40" x14ac:dyDescent="0.25">
      <c r="A112" s="14">
        <f t="shared" si="7"/>
        <v>108</v>
      </c>
      <c r="B112" s="97">
        <v>17450</v>
      </c>
      <c r="C112" s="39">
        <f t="shared" si="5"/>
        <v>1</v>
      </c>
      <c r="D112" s="97">
        <v>17</v>
      </c>
      <c r="E112" s="97">
        <v>4</v>
      </c>
      <c r="F112" s="98">
        <v>10000</v>
      </c>
      <c r="G112" s="98">
        <v>97</v>
      </c>
      <c r="H112" s="98">
        <v>1</v>
      </c>
      <c r="I112" s="98">
        <v>0</v>
      </c>
      <c r="J112" s="13"/>
      <c r="K112" s="13"/>
      <c r="L112" s="13"/>
      <c r="M112" s="13"/>
      <c r="V112">
        <f ca="1"/>
        <v>17</v>
      </c>
      <c r="W112">
        <f ca="1"/>
        <v>4</v>
      </c>
      <c r="X112">
        <f ca="1"/>
        <v>10000</v>
      </c>
      <c r="Y112">
        <f ca="1"/>
        <v>97</v>
      </c>
      <c r="Z112">
        <f ca="1"/>
        <v>1</v>
      </c>
      <c r="AA112">
        <f ca="1"/>
        <v>0</v>
      </c>
      <c r="AB112">
        <f ca="1"/>
        <v>17</v>
      </c>
      <c r="AC112">
        <f ca="1"/>
        <v>4</v>
      </c>
      <c r="AD112">
        <f ca="1"/>
        <v>10000</v>
      </c>
      <c r="AE112">
        <f ca="1"/>
        <v>97</v>
      </c>
      <c r="AF112">
        <f ca="1"/>
        <v>1</v>
      </c>
      <c r="AG112" t="str">
        <f ca="1"/>
        <v/>
      </c>
      <c r="AH112" t="str">
        <f ca="1"/>
        <v/>
      </c>
      <c r="AI112" t="str">
        <f ca="1"/>
        <v/>
      </c>
      <c r="AJ112" t="str">
        <f ca="1"/>
        <v/>
      </c>
      <c r="AK112" t="str">
        <f ca="1"/>
        <v/>
      </c>
      <c r="AL112" t="str">
        <f ca="1"/>
        <v/>
      </c>
      <c r="AM112" t="str">
        <f ca="1"/>
        <v/>
      </c>
      <c r="AN112" t="str">
        <f ca="1"/>
        <v/>
      </c>
    </row>
    <row r="113" spans="1:40" x14ac:dyDescent="0.25">
      <c r="A113" s="14">
        <f t="shared" si="7"/>
        <v>109</v>
      </c>
      <c r="B113" s="97">
        <v>17950</v>
      </c>
      <c r="C113" s="39">
        <f t="shared" si="5"/>
        <v>1</v>
      </c>
      <c r="D113" s="97">
        <v>20</v>
      </c>
      <c r="E113" s="97">
        <v>1</v>
      </c>
      <c r="F113" s="98">
        <v>7187</v>
      </c>
      <c r="G113" s="98">
        <v>110</v>
      </c>
      <c r="H113" s="98">
        <v>1</v>
      </c>
      <c r="I113" s="98">
        <v>0</v>
      </c>
      <c r="J113" s="13"/>
      <c r="K113" s="13"/>
      <c r="L113" s="13"/>
      <c r="M113" s="13"/>
      <c r="V113">
        <f ca="1"/>
        <v>20</v>
      </c>
      <c r="W113">
        <f ca="1"/>
        <v>1</v>
      </c>
      <c r="X113">
        <f ca="1"/>
        <v>7187</v>
      </c>
      <c r="Y113">
        <f ca="1"/>
        <v>110</v>
      </c>
      <c r="Z113">
        <f ca="1"/>
        <v>1</v>
      </c>
      <c r="AA113">
        <f ca="1"/>
        <v>0</v>
      </c>
      <c r="AB113">
        <f ca="1"/>
        <v>20</v>
      </c>
      <c r="AC113">
        <f ca="1"/>
        <v>1</v>
      </c>
      <c r="AD113">
        <f ca="1"/>
        <v>7187</v>
      </c>
      <c r="AE113">
        <f ca="1"/>
        <v>110</v>
      </c>
      <c r="AF113">
        <f ca="1"/>
        <v>1</v>
      </c>
      <c r="AG113" t="str">
        <f ca="1"/>
        <v/>
      </c>
      <c r="AH113" t="str">
        <f ca="1"/>
        <v/>
      </c>
      <c r="AI113" t="str">
        <f ca="1"/>
        <v/>
      </c>
      <c r="AJ113" t="str">
        <f ca="1"/>
        <v/>
      </c>
      <c r="AK113" t="str">
        <f ca="1"/>
        <v/>
      </c>
      <c r="AL113" t="str">
        <f ca="1"/>
        <v/>
      </c>
      <c r="AM113" t="str">
        <f ca="1"/>
        <v/>
      </c>
      <c r="AN113" t="str">
        <f ca="1"/>
        <v/>
      </c>
    </row>
    <row r="114" spans="1:40" x14ac:dyDescent="0.25">
      <c r="A114" s="14">
        <f t="shared" si="7"/>
        <v>110</v>
      </c>
      <c r="B114" s="97">
        <v>32500</v>
      </c>
      <c r="C114" s="39">
        <f t="shared" si="5"/>
        <v>1</v>
      </c>
      <c r="D114" s="97">
        <v>4</v>
      </c>
      <c r="E114" s="97">
        <v>5</v>
      </c>
      <c r="F114" s="98">
        <v>1</v>
      </c>
      <c r="G114" s="98">
        <v>116</v>
      </c>
      <c r="H114" s="98">
        <v>0</v>
      </c>
      <c r="I114" s="98">
        <v>0</v>
      </c>
      <c r="J114" s="13"/>
      <c r="K114" s="13"/>
      <c r="L114" s="13"/>
      <c r="M114" s="13"/>
      <c r="V114">
        <f ca="1"/>
        <v>4</v>
      </c>
      <c r="W114">
        <f ca="1"/>
        <v>5</v>
      </c>
      <c r="X114">
        <f ca="1"/>
        <v>1</v>
      </c>
      <c r="Y114">
        <f ca="1"/>
        <v>116</v>
      </c>
      <c r="Z114">
        <f ca="1"/>
        <v>0</v>
      </c>
      <c r="AA114">
        <f ca="1"/>
        <v>0</v>
      </c>
      <c r="AB114">
        <f ca="1"/>
        <v>4</v>
      </c>
      <c r="AC114">
        <f ca="1"/>
        <v>5</v>
      </c>
      <c r="AD114">
        <f ca="1"/>
        <v>1</v>
      </c>
      <c r="AE114">
        <f ca="1"/>
        <v>116</v>
      </c>
      <c r="AF114">
        <f ca="1"/>
        <v>0</v>
      </c>
      <c r="AG114" t="str">
        <f ca="1"/>
        <v/>
      </c>
      <c r="AH114" t="str">
        <f ca="1"/>
        <v/>
      </c>
      <c r="AI114" t="str">
        <f ca="1"/>
        <v/>
      </c>
      <c r="AJ114" t="str">
        <f ca="1"/>
        <v/>
      </c>
      <c r="AK114" t="str">
        <f ca="1"/>
        <v/>
      </c>
      <c r="AL114" t="str">
        <f ca="1"/>
        <v/>
      </c>
      <c r="AM114" t="str">
        <f ca="1"/>
        <v/>
      </c>
      <c r="AN114" t="str">
        <f ca="1"/>
        <v/>
      </c>
    </row>
    <row r="115" spans="1:40" x14ac:dyDescent="0.25">
      <c r="A115" s="14">
        <f t="shared" si="7"/>
        <v>111</v>
      </c>
      <c r="B115" s="97">
        <v>31000</v>
      </c>
      <c r="C115" s="39">
        <f t="shared" si="5"/>
        <v>1</v>
      </c>
      <c r="D115" s="97">
        <v>4</v>
      </c>
      <c r="E115" s="97">
        <v>5</v>
      </c>
      <c r="F115" s="98">
        <v>4000</v>
      </c>
      <c r="G115" s="98">
        <v>116</v>
      </c>
      <c r="H115" s="98">
        <v>1</v>
      </c>
      <c r="I115" s="98">
        <v>0</v>
      </c>
      <c r="J115" s="13"/>
      <c r="K115" s="13"/>
      <c r="L115" s="13"/>
      <c r="M115" s="13"/>
      <c r="V115">
        <f ca="1"/>
        <v>4</v>
      </c>
      <c r="W115">
        <f ca="1"/>
        <v>5</v>
      </c>
      <c r="X115">
        <f ca="1"/>
        <v>4000</v>
      </c>
      <c r="Y115">
        <f ca="1"/>
        <v>116</v>
      </c>
      <c r="Z115">
        <f ca="1"/>
        <v>1</v>
      </c>
      <c r="AA115">
        <f ca="1"/>
        <v>0</v>
      </c>
      <c r="AB115">
        <f ca="1"/>
        <v>4</v>
      </c>
      <c r="AC115">
        <f ca="1"/>
        <v>5</v>
      </c>
      <c r="AD115">
        <f ca="1"/>
        <v>4000</v>
      </c>
      <c r="AE115">
        <f ca="1"/>
        <v>116</v>
      </c>
      <c r="AF115">
        <f ca="1"/>
        <v>1</v>
      </c>
      <c r="AG115" t="str">
        <f ca="1"/>
        <v/>
      </c>
      <c r="AH115" t="str">
        <f ca="1"/>
        <v/>
      </c>
      <c r="AI115" t="str">
        <f ca="1"/>
        <v/>
      </c>
      <c r="AJ115" t="str">
        <f ca="1"/>
        <v/>
      </c>
      <c r="AK115" t="str">
        <f ca="1"/>
        <v/>
      </c>
      <c r="AL115" t="str">
        <f ca="1"/>
        <v/>
      </c>
      <c r="AM115" t="str">
        <f ca="1"/>
        <v/>
      </c>
      <c r="AN115" t="str">
        <f ca="1"/>
        <v/>
      </c>
    </row>
    <row r="116" spans="1:40" x14ac:dyDescent="0.25">
      <c r="A116" s="14">
        <f t="shared" si="7"/>
        <v>112</v>
      </c>
      <c r="B116" s="97">
        <v>31275</v>
      </c>
      <c r="C116" s="39">
        <f t="shared" si="5"/>
        <v>1</v>
      </c>
      <c r="D116" s="97">
        <v>4</v>
      </c>
      <c r="E116" s="97">
        <v>5</v>
      </c>
      <c r="F116" s="98">
        <v>1500</v>
      </c>
      <c r="G116" s="98">
        <v>116</v>
      </c>
      <c r="H116" s="98">
        <v>1</v>
      </c>
      <c r="I116" s="98">
        <v>0</v>
      </c>
      <c r="J116" s="13"/>
      <c r="K116" s="13"/>
      <c r="L116" s="13"/>
      <c r="M116" s="13"/>
      <c r="V116">
        <f ca="1"/>
        <v>4</v>
      </c>
      <c r="W116">
        <f ca="1"/>
        <v>5</v>
      </c>
      <c r="X116">
        <f ca="1"/>
        <v>1500</v>
      </c>
      <c r="Y116">
        <f ca="1"/>
        <v>116</v>
      </c>
      <c r="Z116">
        <f ca="1"/>
        <v>1</v>
      </c>
      <c r="AA116">
        <f ca="1"/>
        <v>0</v>
      </c>
      <c r="AB116">
        <f ca="1"/>
        <v>4</v>
      </c>
      <c r="AC116">
        <f ca="1"/>
        <v>5</v>
      </c>
      <c r="AD116">
        <f ca="1"/>
        <v>1500</v>
      </c>
      <c r="AE116">
        <f ca="1"/>
        <v>116</v>
      </c>
      <c r="AF116">
        <f ca="1"/>
        <v>1</v>
      </c>
      <c r="AG116" t="str">
        <f ca="1"/>
        <v/>
      </c>
      <c r="AH116" t="str">
        <f ca="1"/>
        <v/>
      </c>
      <c r="AI116" t="str">
        <f ca="1"/>
        <v/>
      </c>
      <c r="AJ116" t="str">
        <f ca="1"/>
        <v/>
      </c>
      <c r="AK116" t="str">
        <f ca="1"/>
        <v/>
      </c>
      <c r="AL116" t="str">
        <f ca="1"/>
        <v/>
      </c>
      <c r="AM116" t="str">
        <f ca="1"/>
        <v/>
      </c>
      <c r="AN116" t="str">
        <f ca="1"/>
        <v/>
      </c>
    </row>
    <row r="117" spans="1:40" x14ac:dyDescent="0.25">
      <c r="A117" s="14">
        <f t="shared" si="7"/>
        <v>113</v>
      </c>
      <c r="B117" s="97">
        <v>24950</v>
      </c>
      <c r="C117" s="39">
        <f t="shared" si="5"/>
        <v>1</v>
      </c>
      <c r="D117" s="97">
        <v>8</v>
      </c>
      <c r="E117" s="97">
        <v>1</v>
      </c>
      <c r="F117" s="98">
        <v>13253</v>
      </c>
      <c r="G117" s="98">
        <v>116</v>
      </c>
      <c r="H117" s="98">
        <v>1</v>
      </c>
      <c r="I117" s="98">
        <v>0</v>
      </c>
      <c r="J117" s="13"/>
      <c r="K117" s="13"/>
      <c r="L117" s="13"/>
      <c r="M117" s="13"/>
      <c r="V117">
        <f ca="1"/>
        <v>8</v>
      </c>
      <c r="W117">
        <f ca="1"/>
        <v>1</v>
      </c>
      <c r="X117">
        <f ca="1"/>
        <v>13253</v>
      </c>
      <c r="Y117">
        <f ca="1"/>
        <v>116</v>
      </c>
      <c r="Z117">
        <f ca="1"/>
        <v>1</v>
      </c>
      <c r="AA117">
        <f ca="1"/>
        <v>0</v>
      </c>
      <c r="AB117">
        <f ca="1"/>
        <v>8</v>
      </c>
      <c r="AC117">
        <f ca="1"/>
        <v>1</v>
      </c>
      <c r="AD117">
        <f ca="1"/>
        <v>13253</v>
      </c>
      <c r="AE117">
        <f ca="1"/>
        <v>116</v>
      </c>
      <c r="AF117">
        <f ca="1"/>
        <v>1</v>
      </c>
      <c r="AG117" t="str">
        <f ca="1"/>
        <v/>
      </c>
      <c r="AH117" t="str">
        <f ca="1"/>
        <v/>
      </c>
      <c r="AI117" t="str">
        <f ca="1"/>
        <v/>
      </c>
      <c r="AJ117" t="str">
        <f ca="1"/>
        <v/>
      </c>
      <c r="AK117" t="str">
        <f ca="1"/>
        <v/>
      </c>
      <c r="AL117" t="str">
        <f ca="1"/>
        <v/>
      </c>
      <c r="AM117" t="str">
        <f ca="1"/>
        <v/>
      </c>
      <c r="AN117" t="str">
        <f ca="1"/>
        <v/>
      </c>
    </row>
    <row r="118" spans="1:40" x14ac:dyDescent="0.25">
      <c r="A118" s="14">
        <f t="shared" si="7"/>
        <v>114</v>
      </c>
      <c r="B118" s="97">
        <v>24950</v>
      </c>
      <c r="C118" s="39">
        <f t="shared" si="5"/>
        <v>1</v>
      </c>
      <c r="D118" s="97">
        <v>8</v>
      </c>
      <c r="E118" s="97">
        <v>1</v>
      </c>
      <c r="F118" s="98">
        <v>13253</v>
      </c>
      <c r="G118" s="98">
        <v>116</v>
      </c>
      <c r="H118" s="98">
        <v>1</v>
      </c>
      <c r="I118" s="98">
        <v>0</v>
      </c>
      <c r="J118" s="13"/>
      <c r="K118" s="13"/>
      <c r="L118" s="13"/>
      <c r="M118" s="13"/>
      <c r="V118">
        <f ca="1"/>
        <v>8</v>
      </c>
      <c r="W118">
        <f ca="1"/>
        <v>1</v>
      </c>
      <c r="X118">
        <f ca="1"/>
        <v>13253</v>
      </c>
      <c r="Y118">
        <f ca="1"/>
        <v>116</v>
      </c>
      <c r="Z118">
        <f ca="1"/>
        <v>1</v>
      </c>
      <c r="AA118">
        <f ca="1"/>
        <v>0</v>
      </c>
      <c r="AB118">
        <f ca="1"/>
        <v>8</v>
      </c>
      <c r="AC118">
        <f ca="1"/>
        <v>1</v>
      </c>
      <c r="AD118">
        <f ca="1"/>
        <v>13253</v>
      </c>
      <c r="AE118">
        <f ca="1"/>
        <v>116</v>
      </c>
      <c r="AF118">
        <f ca="1"/>
        <v>1</v>
      </c>
      <c r="AG118" t="str">
        <f ca="1"/>
        <v/>
      </c>
      <c r="AH118" t="str">
        <f ca="1"/>
        <v/>
      </c>
      <c r="AI118" t="str">
        <f ca="1"/>
        <v/>
      </c>
      <c r="AJ118" t="str">
        <f ca="1"/>
        <v/>
      </c>
      <c r="AK118" t="str">
        <f ca="1"/>
        <v/>
      </c>
      <c r="AL118" t="str">
        <f ca="1"/>
        <v/>
      </c>
      <c r="AM118" t="str">
        <f ca="1"/>
        <v/>
      </c>
      <c r="AN118" t="str">
        <f ca="1"/>
        <v/>
      </c>
    </row>
    <row r="119" spans="1:40" x14ac:dyDescent="0.25">
      <c r="A119" s="14">
        <f t="shared" si="7"/>
        <v>115</v>
      </c>
      <c r="B119" s="97">
        <v>22950</v>
      </c>
      <c r="C119" s="39">
        <f t="shared" si="5"/>
        <v>1</v>
      </c>
      <c r="D119" s="97">
        <v>7</v>
      </c>
      <c r="E119" s="97">
        <v>2</v>
      </c>
      <c r="F119" s="98">
        <v>10000</v>
      </c>
      <c r="G119" s="98">
        <v>116</v>
      </c>
      <c r="H119" s="98">
        <v>1</v>
      </c>
      <c r="I119" s="98">
        <v>0</v>
      </c>
      <c r="J119" s="13"/>
      <c r="K119" s="13"/>
      <c r="L119" s="13"/>
      <c r="M119" s="13"/>
      <c r="V119">
        <f ca="1"/>
        <v>7</v>
      </c>
      <c r="W119">
        <f ca="1"/>
        <v>2</v>
      </c>
      <c r="X119">
        <f ca="1"/>
        <v>10000</v>
      </c>
      <c r="Y119">
        <f ca="1"/>
        <v>116</v>
      </c>
      <c r="Z119">
        <f ca="1"/>
        <v>1</v>
      </c>
      <c r="AA119">
        <f ca="1"/>
        <v>0</v>
      </c>
      <c r="AB119">
        <f ca="1"/>
        <v>7</v>
      </c>
      <c r="AC119">
        <f ca="1"/>
        <v>2</v>
      </c>
      <c r="AD119">
        <f ca="1"/>
        <v>10000</v>
      </c>
      <c r="AE119">
        <f ca="1"/>
        <v>116</v>
      </c>
      <c r="AF119">
        <f ca="1"/>
        <v>1</v>
      </c>
      <c r="AG119" t="str">
        <f ca="1"/>
        <v/>
      </c>
      <c r="AH119" t="str">
        <f ca="1"/>
        <v/>
      </c>
      <c r="AI119" t="str">
        <f ca="1"/>
        <v/>
      </c>
      <c r="AJ119" t="str">
        <f ca="1"/>
        <v/>
      </c>
      <c r="AK119" t="str">
        <f ca="1"/>
        <v/>
      </c>
      <c r="AL119" t="str">
        <f ca="1"/>
        <v/>
      </c>
      <c r="AM119" t="str">
        <f ca="1"/>
        <v/>
      </c>
      <c r="AN119" t="str">
        <f ca="1"/>
        <v/>
      </c>
    </row>
    <row r="120" spans="1:40" x14ac:dyDescent="0.25">
      <c r="A120" s="14">
        <f t="shared" si="7"/>
        <v>116</v>
      </c>
      <c r="B120" s="97">
        <v>24990</v>
      </c>
      <c r="C120" s="39">
        <f t="shared" si="5"/>
        <v>1</v>
      </c>
      <c r="D120" s="97">
        <v>8</v>
      </c>
      <c r="E120" s="97">
        <v>1</v>
      </c>
      <c r="F120" s="98">
        <v>6000</v>
      </c>
      <c r="G120" s="98">
        <v>90</v>
      </c>
      <c r="H120" s="98">
        <v>1</v>
      </c>
      <c r="I120" s="98">
        <v>0</v>
      </c>
      <c r="J120" s="13"/>
      <c r="K120" s="13"/>
      <c r="L120" s="13"/>
      <c r="M120" s="13"/>
      <c r="V120">
        <f ca="1"/>
        <v>8</v>
      </c>
      <c r="W120">
        <f ca="1"/>
        <v>1</v>
      </c>
      <c r="X120">
        <f ca="1"/>
        <v>6000</v>
      </c>
      <c r="Y120">
        <f ca="1"/>
        <v>90</v>
      </c>
      <c r="Z120">
        <f ca="1"/>
        <v>1</v>
      </c>
      <c r="AA120">
        <f ca="1"/>
        <v>0</v>
      </c>
      <c r="AB120">
        <f ca="1"/>
        <v>8</v>
      </c>
      <c r="AC120">
        <f ca="1"/>
        <v>1</v>
      </c>
      <c r="AD120">
        <f ca="1"/>
        <v>6000</v>
      </c>
      <c r="AE120">
        <f ca="1"/>
        <v>90</v>
      </c>
      <c r="AF120">
        <f ca="1"/>
        <v>1</v>
      </c>
      <c r="AG120" t="str">
        <f ca="1"/>
        <v/>
      </c>
      <c r="AH120" t="str">
        <f ca="1"/>
        <v/>
      </c>
      <c r="AI120" t="str">
        <f ca="1"/>
        <v/>
      </c>
      <c r="AJ120" t="str">
        <f ca="1"/>
        <v/>
      </c>
      <c r="AK120" t="str">
        <f ca="1"/>
        <v/>
      </c>
      <c r="AL120" t="str">
        <f ca="1"/>
        <v/>
      </c>
      <c r="AM120" t="str">
        <f ca="1"/>
        <v/>
      </c>
      <c r="AN120" t="str">
        <f ca="1"/>
        <v/>
      </c>
    </row>
    <row r="121" spans="1:40" x14ac:dyDescent="0.25">
      <c r="A121" s="14">
        <f t="shared" si="7"/>
        <v>117</v>
      </c>
      <c r="B121" s="97">
        <v>21950</v>
      </c>
      <c r="C121" s="39">
        <f t="shared" si="5"/>
        <v>1</v>
      </c>
      <c r="D121" s="97">
        <v>8</v>
      </c>
      <c r="E121" s="97">
        <v>1</v>
      </c>
      <c r="F121" s="98">
        <v>10841</v>
      </c>
      <c r="G121" s="98">
        <v>90</v>
      </c>
      <c r="H121" s="98">
        <v>1</v>
      </c>
      <c r="I121" s="98">
        <v>0</v>
      </c>
      <c r="J121" s="13"/>
      <c r="K121" s="13"/>
      <c r="L121" s="13"/>
      <c r="M121" s="13"/>
      <c r="V121">
        <f ca="1"/>
        <v>8</v>
      </c>
      <c r="W121">
        <f ca="1"/>
        <v>1</v>
      </c>
      <c r="X121">
        <f ca="1"/>
        <v>10841</v>
      </c>
      <c r="Y121">
        <f ca="1"/>
        <v>90</v>
      </c>
      <c r="Z121">
        <f ca="1"/>
        <v>1</v>
      </c>
      <c r="AA121">
        <f ca="1"/>
        <v>0</v>
      </c>
      <c r="AB121">
        <f ca="1"/>
        <v>8</v>
      </c>
      <c r="AC121">
        <f ca="1"/>
        <v>1</v>
      </c>
      <c r="AD121">
        <f ca="1"/>
        <v>10841</v>
      </c>
      <c r="AE121">
        <f ca="1"/>
        <v>90</v>
      </c>
      <c r="AF121">
        <f ca="1"/>
        <v>1</v>
      </c>
      <c r="AG121" t="str">
        <f ca="1"/>
        <v/>
      </c>
      <c r="AH121" t="str">
        <f ca="1"/>
        <v/>
      </c>
      <c r="AI121" t="str">
        <f ca="1"/>
        <v/>
      </c>
      <c r="AJ121" t="str">
        <f ca="1"/>
        <v/>
      </c>
      <c r="AK121" t="str">
        <f ca="1"/>
        <v/>
      </c>
      <c r="AL121" t="str">
        <f ca="1"/>
        <v/>
      </c>
      <c r="AM121" t="str">
        <f ca="1"/>
        <v/>
      </c>
      <c r="AN121" t="str">
        <f ca="1"/>
        <v/>
      </c>
    </row>
    <row r="122" spans="1:40" x14ac:dyDescent="0.25">
      <c r="A122" s="14">
        <f t="shared" si="7"/>
        <v>118</v>
      </c>
      <c r="B122" s="97">
        <v>17900</v>
      </c>
      <c r="C122" s="39">
        <f t="shared" si="5"/>
        <v>1</v>
      </c>
      <c r="D122" s="97">
        <v>7</v>
      </c>
      <c r="E122" s="97">
        <v>2</v>
      </c>
      <c r="F122" s="98">
        <v>1</v>
      </c>
      <c r="G122" s="98">
        <v>110</v>
      </c>
      <c r="H122" s="98">
        <v>1</v>
      </c>
      <c r="I122" s="98">
        <v>0</v>
      </c>
      <c r="J122" s="13"/>
      <c r="K122" s="13"/>
      <c r="L122" s="13"/>
      <c r="M122" s="13"/>
      <c r="V122">
        <f ca="1"/>
        <v>7</v>
      </c>
      <c r="W122">
        <f ca="1"/>
        <v>2</v>
      </c>
      <c r="X122">
        <f ca="1"/>
        <v>1</v>
      </c>
      <c r="Y122">
        <f ca="1"/>
        <v>110</v>
      </c>
      <c r="Z122">
        <f ca="1"/>
        <v>1</v>
      </c>
      <c r="AA122">
        <f ca="1"/>
        <v>0</v>
      </c>
      <c r="AB122">
        <f ca="1"/>
        <v>7</v>
      </c>
      <c r="AC122">
        <f ca="1"/>
        <v>2</v>
      </c>
      <c r="AD122">
        <f ca="1"/>
        <v>1</v>
      </c>
      <c r="AE122">
        <f ca="1"/>
        <v>110</v>
      </c>
      <c r="AF122">
        <f ca="1"/>
        <v>1</v>
      </c>
      <c r="AG122" t="str">
        <f ca="1"/>
        <v/>
      </c>
      <c r="AH122" t="str">
        <f ca="1"/>
        <v/>
      </c>
      <c r="AI122" t="str">
        <f ca="1"/>
        <v/>
      </c>
      <c r="AJ122" t="str">
        <f ca="1"/>
        <v/>
      </c>
      <c r="AK122" t="str">
        <f ca="1"/>
        <v/>
      </c>
      <c r="AL122" t="str">
        <f ca="1"/>
        <v/>
      </c>
      <c r="AM122" t="str">
        <f ca="1"/>
        <v/>
      </c>
      <c r="AN122" t="str">
        <f ca="1"/>
        <v/>
      </c>
    </row>
    <row r="123" spans="1:40" x14ac:dyDescent="0.25">
      <c r="A123" s="14">
        <f t="shared" si="7"/>
        <v>119</v>
      </c>
      <c r="B123" s="97">
        <v>19250</v>
      </c>
      <c r="C123" s="39">
        <f t="shared" si="5"/>
        <v>1</v>
      </c>
      <c r="D123" s="97">
        <v>20</v>
      </c>
      <c r="E123" s="97">
        <v>1</v>
      </c>
      <c r="F123" s="98">
        <v>63000</v>
      </c>
      <c r="G123" s="98">
        <v>90</v>
      </c>
      <c r="H123" s="98">
        <v>1</v>
      </c>
      <c r="I123" s="98">
        <v>0</v>
      </c>
      <c r="J123" s="13"/>
      <c r="K123" s="13"/>
      <c r="L123" s="13"/>
      <c r="M123" s="13"/>
      <c r="V123">
        <f ca="1"/>
        <v>20</v>
      </c>
      <c r="W123">
        <f ca="1"/>
        <v>1</v>
      </c>
      <c r="X123">
        <f ca="1"/>
        <v>63000</v>
      </c>
      <c r="Y123">
        <f ca="1"/>
        <v>90</v>
      </c>
      <c r="Z123">
        <f ca="1"/>
        <v>1</v>
      </c>
      <c r="AA123">
        <f ca="1"/>
        <v>0</v>
      </c>
      <c r="AB123">
        <f ca="1"/>
        <v>20</v>
      </c>
      <c r="AC123">
        <f ca="1"/>
        <v>1</v>
      </c>
      <c r="AD123">
        <f ca="1"/>
        <v>63000</v>
      </c>
      <c r="AE123">
        <f ca="1"/>
        <v>90</v>
      </c>
      <c r="AF123">
        <f ca="1"/>
        <v>1</v>
      </c>
      <c r="AG123" t="str">
        <f ca="1"/>
        <v/>
      </c>
      <c r="AH123" t="str">
        <f ca="1"/>
        <v/>
      </c>
      <c r="AI123" t="str">
        <f ca="1"/>
        <v/>
      </c>
      <c r="AJ123" t="str">
        <f ca="1"/>
        <v/>
      </c>
      <c r="AK123" t="str">
        <f ca="1"/>
        <v/>
      </c>
      <c r="AL123" t="str">
        <f ca="1"/>
        <v/>
      </c>
      <c r="AM123" t="str">
        <f ca="1"/>
        <v/>
      </c>
      <c r="AN123" t="str">
        <f ca="1"/>
        <v/>
      </c>
    </row>
    <row r="124" spans="1:40" x14ac:dyDescent="0.25">
      <c r="A124" s="14">
        <f t="shared" si="7"/>
        <v>120</v>
      </c>
      <c r="B124" s="97">
        <v>22250</v>
      </c>
      <c r="C124" s="39">
        <f t="shared" si="5"/>
        <v>1</v>
      </c>
      <c r="D124" s="97">
        <v>17</v>
      </c>
      <c r="E124" s="97">
        <v>4</v>
      </c>
      <c r="F124" s="98">
        <v>57313</v>
      </c>
      <c r="G124" s="98">
        <v>110</v>
      </c>
      <c r="H124" s="98">
        <v>1</v>
      </c>
      <c r="I124" s="98">
        <v>0</v>
      </c>
      <c r="J124" s="13"/>
      <c r="K124" s="13"/>
      <c r="L124" s="13"/>
      <c r="M124" s="13"/>
      <c r="V124">
        <f ca="1"/>
        <v>17</v>
      </c>
      <c r="W124">
        <f ca="1"/>
        <v>4</v>
      </c>
      <c r="X124">
        <f ca="1"/>
        <v>57313</v>
      </c>
      <c r="Y124">
        <f ca="1"/>
        <v>110</v>
      </c>
      <c r="Z124">
        <f ca="1"/>
        <v>1</v>
      </c>
      <c r="AA124">
        <f ca="1"/>
        <v>0</v>
      </c>
      <c r="AB124">
        <f ca="1"/>
        <v>17</v>
      </c>
      <c r="AC124">
        <f ca="1"/>
        <v>4</v>
      </c>
      <c r="AD124">
        <f ca="1"/>
        <v>57313</v>
      </c>
      <c r="AE124">
        <f ca="1"/>
        <v>110</v>
      </c>
      <c r="AF124">
        <f ca="1"/>
        <v>1</v>
      </c>
      <c r="AG124" t="str">
        <f ca="1"/>
        <v/>
      </c>
      <c r="AH124" t="str">
        <f ca="1"/>
        <v/>
      </c>
      <c r="AI124" t="str">
        <f ca="1"/>
        <v/>
      </c>
      <c r="AJ124" t="str">
        <f ca="1"/>
        <v/>
      </c>
      <c r="AK124" t="str">
        <f ca="1"/>
        <v/>
      </c>
      <c r="AL124" t="str">
        <f ca="1"/>
        <v/>
      </c>
      <c r="AM124" t="str">
        <f ca="1"/>
        <v/>
      </c>
      <c r="AN124" t="str">
        <f ca="1"/>
        <v/>
      </c>
    </row>
    <row r="125" spans="1:40" x14ac:dyDescent="0.25">
      <c r="A125" s="14">
        <f t="shared" si="7"/>
        <v>121</v>
      </c>
      <c r="B125" s="97">
        <v>18950</v>
      </c>
      <c r="C125" s="39">
        <f t="shared" si="5"/>
        <v>1</v>
      </c>
      <c r="D125" s="97">
        <v>13</v>
      </c>
      <c r="E125" s="97">
        <v>8</v>
      </c>
      <c r="F125" s="98">
        <v>57037</v>
      </c>
      <c r="G125" s="98">
        <v>110</v>
      </c>
      <c r="H125" s="98">
        <v>0</v>
      </c>
      <c r="I125" s="98">
        <v>0</v>
      </c>
      <c r="J125" s="13"/>
      <c r="K125" s="13"/>
      <c r="L125" s="13"/>
      <c r="M125" s="13"/>
      <c r="V125">
        <f ca="1"/>
        <v>13</v>
      </c>
      <c r="W125">
        <f ca="1"/>
        <v>8</v>
      </c>
      <c r="X125">
        <f ca="1"/>
        <v>57037</v>
      </c>
      <c r="Y125">
        <f ca="1"/>
        <v>110</v>
      </c>
      <c r="Z125">
        <f ca="1"/>
        <v>0</v>
      </c>
      <c r="AA125">
        <f ca="1"/>
        <v>0</v>
      </c>
      <c r="AB125">
        <f ca="1"/>
        <v>13</v>
      </c>
      <c r="AC125">
        <f ca="1"/>
        <v>8</v>
      </c>
      <c r="AD125">
        <f ca="1"/>
        <v>57037</v>
      </c>
      <c r="AE125">
        <f ca="1"/>
        <v>110</v>
      </c>
      <c r="AF125">
        <f ca="1"/>
        <v>0</v>
      </c>
      <c r="AG125" t="str">
        <f ca="1"/>
        <v/>
      </c>
      <c r="AH125" t="str">
        <f ca="1"/>
        <v/>
      </c>
      <c r="AI125" t="str">
        <f ca="1"/>
        <v/>
      </c>
      <c r="AJ125" t="str">
        <f ca="1"/>
        <v/>
      </c>
      <c r="AK125" t="str">
        <f ca="1"/>
        <v/>
      </c>
      <c r="AL125" t="str">
        <f ca="1"/>
        <v/>
      </c>
      <c r="AM125" t="str">
        <f ca="1"/>
        <v/>
      </c>
      <c r="AN125" t="str">
        <f ca="1"/>
        <v/>
      </c>
    </row>
    <row r="126" spans="1:40" x14ac:dyDescent="0.25">
      <c r="A126" s="14">
        <f t="shared" si="7"/>
        <v>122</v>
      </c>
      <c r="B126" s="97">
        <v>19950</v>
      </c>
      <c r="C126" s="39">
        <f t="shared" si="5"/>
        <v>1</v>
      </c>
      <c r="D126" s="97">
        <v>19</v>
      </c>
      <c r="E126" s="97">
        <v>2</v>
      </c>
      <c r="F126" s="98">
        <v>51099</v>
      </c>
      <c r="G126" s="98">
        <v>90</v>
      </c>
      <c r="H126" s="98">
        <v>1</v>
      </c>
      <c r="I126" s="98">
        <v>0</v>
      </c>
      <c r="J126" s="13"/>
      <c r="K126" s="13"/>
      <c r="L126" s="13"/>
      <c r="M126" s="13"/>
      <c r="V126">
        <f ca="1"/>
        <v>19</v>
      </c>
      <c r="W126">
        <f ca="1"/>
        <v>2</v>
      </c>
      <c r="X126">
        <f ca="1"/>
        <v>51099</v>
      </c>
      <c r="Y126">
        <f ca="1"/>
        <v>90</v>
      </c>
      <c r="Z126">
        <f ca="1"/>
        <v>1</v>
      </c>
      <c r="AA126">
        <f ca="1"/>
        <v>0</v>
      </c>
      <c r="AB126">
        <f ca="1"/>
        <v>19</v>
      </c>
      <c r="AC126">
        <f ca="1"/>
        <v>2</v>
      </c>
      <c r="AD126">
        <f ca="1"/>
        <v>51099</v>
      </c>
      <c r="AE126">
        <f ca="1"/>
        <v>90</v>
      </c>
      <c r="AF126">
        <f ca="1"/>
        <v>1</v>
      </c>
      <c r="AG126" t="str">
        <f ca="1"/>
        <v/>
      </c>
      <c r="AH126" t="str">
        <f ca="1"/>
        <v/>
      </c>
      <c r="AI126" t="str">
        <f ca="1"/>
        <v/>
      </c>
      <c r="AJ126" t="str">
        <f ca="1"/>
        <v/>
      </c>
      <c r="AK126" t="str">
        <f ca="1"/>
        <v/>
      </c>
      <c r="AL126" t="str">
        <f ca="1"/>
        <v/>
      </c>
      <c r="AM126" t="str">
        <f ca="1"/>
        <v/>
      </c>
      <c r="AN126" t="str">
        <f ca="1"/>
        <v/>
      </c>
    </row>
    <row r="127" spans="1:40" x14ac:dyDescent="0.25">
      <c r="A127" s="14">
        <f t="shared" si="7"/>
        <v>123</v>
      </c>
      <c r="B127" s="97">
        <v>16350</v>
      </c>
      <c r="C127" s="39">
        <f t="shared" si="5"/>
        <v>1</v>
      </c>
      <c r="D127" s="97">
        <v>14</v>
      </c>
      <c r="E127" s="97">
        <v>7</v>
      </c>
      <c r="F127" s="98">
        <v>40010</v>
      </c>
      <c r="G127" s="98">
        <v>110</v>
      </c>
      <c r="H127" s="98">
        <v>1</v>
      </c>
      <c r="I127" s="98">
        <v>0</v>
      </c>
      <c r="J127" s="13"/>
      <c r="K127" s="13"/>
      <c r="L127" s="13"/>
      <c r="M127" s="13"/>
      <c r="V127">
        <f ca="1"/>
        <v>14</v>
      </c>
      <c r="W127">
        <f ca="1"/>
        <v>7</v>
      </c>
      <c r="X127">
        <f ca="1"/>
        <v>40010</v>
      </c>
      <c r="Y127">
        <f ca="1"/>
        <v>110</v>
      </c>
      <c r="Z127">
        <f ca="1"/>
        <v>1</v>
      </c>
      <c r="AA127">
        <f ca="1"/>
        <v>0</v>
      </c>
      <c r="AB127">
        <f ca="1"/>
        <v>14</v>
      </c>
      <c r="AC127">
        <f ca="1"/>
        <v>7</v>
      </c>
      <c r="AD127">
        <f ca="1"/>
        <v>40010</v>
      </c>
      <c r="AE127">
        <f ca="1"/>
        <v>110</v>
      </c>
      <c r="AF127">
        <f ca="1"/>
        <v>1</v>
      </c>
      <c r="AG127" t="str">
        <f ca="1"/>
        <v/>
      </c>
      <c r="AH127" t="str">
        <f ca="1"/>
        <v/>
      </c>
      <c r="AI127" t="str">
        <f ca="1"/>
        <v/>
      </c>
      <c r="AJ127" t="str">
        <f ca="1"/>
        <v/>
      </c>
      <c r="AK127" t="str">
        <f ca="1"/>
        <v/>
      </c>
      <c r="AL127" t="str">
        <f ca="1"/>
        <v/>
      </c>
      <c r="AM127" t="str">
        <f ca="1"/>
        <v/>
      </c>
      <c r="AN127" t="str">
        <f ca="1"/>
        <v/>
      </c>
    </row>
    <row r="128" spans="1:40" x14ac:dyDescent="0.25">
      <c r="A128" s="14">
        <f t="shared" si="7"/>
        <v>124</v>
      </c>
      <c r="B128" s="97">
        <v>18950</v>
      </c>
      <c r="C128" s="39">
        <f t="shared" si="5"/>
        <v>1</v>
      </c>
      <c r="D128" s="97">
        <v>20</v>
      </c>
      <c r="E128" s="97">
        <v>1</v>
      </c>
      <c r="F128" s="98">
        <v>39115</v>
      </c>
      <c r="G128" s="98">
        <v>110</v>
      </c>
      <c r="H128" s="98">
        <v>1</v>
      </c>
      <c r="I128" s="98">
        <v>0</v>
      </c>
      <c r="J128" s="13"/>
      <c r="K128" s="13"/>
      <c r="L128" s="13"/>
      <c r="M128" s="13"/>
      <c r="V128">
        <f ca="1"/>
        <v>20</v>
      </c>
      <c r="W128">
        <f ca="1"/>
        <v>1</v>
      </c>
      <c r="X128">
        <f ca="1"/>
        <v>39115</v>
      </c>
      <c r="Y128">
        <f ca="1"/>
        <v>110</v>
      </c>
      <c r="Z128">
        <f ca="1"/>
        <v>1</v>
      </c>
      <c r="AA128">
        <f ca="1"/>
        <v>0</v>
      </c>
      <c r="AB128">
        <f ca="1"/>
        <v>20</v>
      </c>
      <c r="AC128">
        <f ca="1"/>
        <v>1</v>
      </c>
      <c r="AD128">
        <f ca="1"/>
        <v>39115</v>
      </c>
      <c r="AE128">
        <f ca="1"/>
        <v>110</v>
      </c>
      <c r="AF128">
        <f ca="1"/>
        <v>1</v>
      </c>
      <c r="AG128" t="str">
        <f ca="1"/>
        <v/>
      </c>
      <c r="AH128" t="str">
        <f ca="1"/>
        <v/>
      </c>
      <c r="AI128" t="str">
        <f ca="1"/>
        <v/>
      </c>
      <c r="AJ128" t="str">
        <f ca="1"/>
        <v/>
      </c>
      <c r="AK128" t="str">
        <f ca="1"/>
        <v/>
      </c>
      <c r="AL128" t="str">
        <f ca="1"/>
        <v/>
      </c>
      <c r="AM128" t="str">
        <f ca="1"/>
        <v/>
      </c>
      <c r="AN128" t="str">
        <f ca="1"/>
        <v/>
      </c>
    </row>
    <row r="129" spans="1:40" x14ac:dyDescent="0.25">
      <c r="A129" s="14">
        <f t="shared" si="7"/>
        <v>125</v>
      </c>
      <c r="B129" s="97">
        <v>16950</v>
      </c>
      <c r="C129" s="39">
        <f t="shared" si="5"/>
        <v>1</v>
      </c>
      <c r="D129" s="97">
        <v>17</v>
      </c>
      <c r="E129" s="97">
        <v>4</v>
      </c>
      <c r="F129" s="98">
        <v>36012</v>
      </c>
      <c r="G129" s="98">
        <v>110</v>
      </c>
      <c r="H129" s="98">
        <v>0</v>
      </c>
      <c r="I129" s="98">
        <v>0</v>
      </c>
      <c r="J129" s="13"/>
      <c r="K129" s="13"/>
      <c r="L129" s="13"/>
      <c r="M129" s="13"/>
      <c r="V129">
        <f ca="1"/>
        <v>17</v>
      </c>
      <c r="W129">
        <f ca="1"/>
        <v>4</v>
      </c>
      <c r="X129">
        <f ca="1"/>
        <v>36012</v>
      </c>
      <c r="Y129">
        <f ca="1"/>
        <v>110</v>
      </c>
      <c r="Z129">
        <f ca="1"/>
        <v>0</v>
      </c>
      <c r="AA129">
        <f ca="1"/>
        <v>0</v>
      </c>
      <c r="AB129">
        <f ca="1"/>
        <v>17</v>
      </c>
      <c r="AC129">
        <f ca="1"/>
        <v>4</v>
      </c>
      <c r="AD129">
        <f ca="1"/>
        <v>36012</v>
      </c>
      <c r="AE129">
        <f ca="1"/>
        <v>110</v>
      </c>
      <c r="AF129">
        <f ca="1"/>
        <v>0</v>
      </c>
      <c r="AG129" t="str">
        <f ca="1"/>
        <v/>
      </c>
      <c r="AH129" t="str">
        <f ca="1"/>
        <v/>
      </c>
      <c r="AI129" t="str">
        <f ca="1"/>
        <v/>
      </c>
      <c r="AJ129" t="str">
        <f ca="1"/>
        <v/>
      </c>
      <c r="AK129" t="str">
        <f ca="1"/>
        <v/>
      </c>
      <c r="AL129" t="str">
        <f ca="1"/>
        <v/>
      </c>
      <c r="AM129" t="str">
        <f ca="1"/>
        <v/>
      </c>
      <c r="AN129" t="str">
        <f ca="1"/>
        <v/>
      </c>
    </row>
    <row r="130" spans="1:40" x14ac:dyDescent="0.25">
      <c r="A130" s="14">
        <f t="shared" si="7"/>
        <v>126</v>
      </c>
      <c r="B130" s="97">
        <v>21750</v>
      </c>
      <c r="C130" s="39">
        <f t="shared" si="5"/>
        <v>1</v>
      </c>
      <c r="D130" s="97">
        <v>16</v>
      </c>
      <c r="E130" s="97">
        <v>5</v>
      </c>
      <c r="F130" s="98">
        <v>36000</v>
      </c>
      <c r="G130" s="98">
        <v>110</v>
      </c>
      <c r="H130" s="98">
        <v>1</v>
      </c>
      <c r="I130" s="98">
        <v>0</v>
      </c>
      <c r="J130" s="13"/>
      <c r="K130" s="13"/>
      <c r="L130" s="13"/>
      <c r="M130" s="13"/>
      <c r="V130">
        <f ca="1"/>
        <v>16</v>
      </c>
      <c r="W130">
        <f ca="1"/>
        <v>5</v>
      </c>
      <c r="X130">
        <f ca="1"/>
        <v>36000</v>
      </c>
      <c r="Y130">
        <f ca="1"/>
        <v>110</v>
      </c>
      <c r="Z130">
        <f ca="1"/>
        <v>1</v>
      </c>
      <c r="AA130">
        <f ca="1"/>
        <v>0</v>
      </c>
      <c r="AB130">
        <f ca="1"/>
        <v>16</v>
      </c>
      <c r="AC130">
        <f ca="1"/>
        <v>5</v>
      </c>
      <c r="AD130">
        <f ca="1"/>
        <v>36000</v>
      </c>
      <c r="AE130">
        <f ca="1"/>
        <v>110</v>
      </c>
      <c r="AF130">
        <f ca="1"/>
        <v>1</v>
      </c>
      <c r="AG130" t="str">
        <f ca="1"/>
        <v/>
      </c>
      <c r="AH130" t="str">
        <f ca="1"/>
        <v/>
      </c>
      <c r="AI130" t="str">
        <f ca="1"/>
        <v/>
      </c>
      <c r="AJ130" t="str">
        <f ca="1"/>
        <v/>
      </c>
      <c r="AK130" t="str">
        <f ca="1"/>
        <v/>
      </c>
      <c r="AL130" t="str">
        <f ca="1"/>
        <v/>
      </c>
      <c r="AM130" t="str">
        <f ca="1"/>
        <v/>
      </c>
      <c r="AN130" t="str">
        <f ca="1"/>
        <v/>
      </c>
    </row>
    <row r="131" spans="1:40" x14ac:dyDescent="0.25">
      <c r="A131" s="14">
        <f t="shared" si="7"/>
        <v>127</v>
      </c>
      <c r="B131" s="97">
        <v>15950</v>
      </c>
      <c r="C131" s="39">
        <f t="shared" si="5"/>
        <v>1</v>
      </c>
      <c r="D131" s="97">
        <v>20</v>
      </c>
      <c r="E131" s="97">
        <v>1</v>
      </c>
      <c r="F131" s="98">
        <v>36000</v>
      </c>
      <c r="G131" s="98">
        <v>110</v>
      </c>
      <c r="H131" s="98">
        <v>1</v>
      </c>
      <c r="I131" s="98">
        <v>0</v>
      </c>
      <c r="J131" s="13"/>
      <c r="K131" s="13"/>
      <c r="L131" s="13"/>
      <c r="M131" s="13"/>
      <c r="V131">
        <f ca="1"/>
        <v>20</v>
      </c>
      <c r="W131">
        <f ca="1"/>
        <v>1</v>
      </c>
      <c r="X131">
        <f ca="1"/>
        <v>36000</v>
      </c>
      <c r="Y131">
        <f ca="1"/>
        <v>110</v>
      </c>
      <c r="Z131">
        <f ca="1"/>
        <v>1</v>
      </c>
      <c r="AA131">
        <f ca="1"/>
        <v>0</v>
      </c>
      <c r="AB131">
        <f ca="1"/>
        <v>20</v>
      </c>
      <c r="AC131">
        <f ca="1"/>
        <v>1</v>
      </c>
      <c r="AD131">
        <f ca="1"/>
        <v>36000</v>
      </c>
      <c r="AE131">
        <f ca="1"/>
        <v>110</v>
      </c>
      <c r="AF131">
        <f ca="1"/>
        <v>1</v>
      </c>
      <c r="AG131" t="str">
        <f ca="1"/>
        <v/>
      </c>
      <c r="AH131" t="str">
        <f ca="1"/>
        <v/>
      </c>
      <c r="AI131" t="str">
        <f ca="1"/>
        <v/>
      </c>
      <c r="AJ131" t="str">
        <f ca="1"/>
        <v/>
      </c>
      <c r="AK131" t="str">
        <f ca="1"/>
        <v/>
      </c>
      <c r="AL131" t="str">
        <f ca="1"/>
        <v/>
      </c>
      <c r="AM131" t="str">
        <f ca="1"/>
        <v/>
      </c>
      <c r="AN131" t="str">
        <f ca="1"/>
        <v/>
      </c>
    </row>
    <row r="132" spans="1:40" x14ac:dyDescent="0.25">
      <c r="A132" s="14">
        <f t="shared" si="7"/>
        <v>128</v>
      </c>
      <c r="B132" s="97">
        <v>16500</v>
      </c>
      <c r="C132" s="39">
        <f t="shared" si="5"/>
        <v>1</v>
      </c>
      <c r="D132" s="97">
        <v>20</v>
      </c>
      <c r="E132" s="97">
        <v>1</v>
      </c>
      <c r="F132" s="98">
        <v>35000</v>
      </c>
      <c r="G132" s="98">
        <v>97</v>
      </c>
      <c r="H132" s="98">
        <v>1</v>
      </c>
      <c r="I132" s="98">
        <v>0</v>
      </c>
      <c r="J132" s="13"/>
      <c r="K132" s="13"/>
      <c r="L132" s="13"/>
      <c r="M132" s="13"/>
      <c r="V132">
        <f ca="1"/>
        <v>20</v>
      </c>
      <c r="W132">
        <f ca="1"/>
        <v>1</v>
      </c>
      <c r="X132">
        <f ca="1"/>
        <v>35000</v>
      </c>
      <c r="Y132">
        <f ca="1"/>
        <v>97</v>
      </c>
      <c r="Z132">
        <f ca="1"/>
        <v>1</v>
      </c>
      <c r="AA132">
        <f ca="1"/>
        <v>0</v>
      </c>
      <c r="AB132">
        <f ca="1"/>
        <v>20</v>
      </c>
      <c r="AC132">
        <f ca="1"/>
        <v>1</v>
      </c>
      <c r="AD132">
        <f ca="1"/>
        <v>35000</v>
      </c>
      <c r="AE132">
        <f ca="1"/>
        <v>97</v>
      </c>
      <c r="AF132">
        <f ca="1"/>
        <v>1</v>
      </c>
      <c r="AG132" t="str">
        <f ca="1"/>
        <v/>
      </c>
      <c r="AH132" t="str">
        <f ca="1"/>
        <v/>
      </c>
      <c r="AI132" t="str">
        <f ca="1"/>
        <v/>
      </c>
      <c r="AJ132" t="str">
        <f ca="1"/>
        <v/>
      </c>
      <c r="AK132" t="str">
        <f ca="1"/>
        <v/>
      </c>
      <c r="AL132" t="str">
        <f ca="1"/>
        <v/>
      </c>
      <c r="AM132" t="str">
        <f ca="1"/>
        <v/>
      </c>
      <c r="AN132" t="str">
        <f ca="1"/>
        <v/>
      </c>
    </row>
    <row r="133" spans="1:40" x14ac:dyDescent="0.25">
      <c r="A133" s="14">
        <f t="shared" si="7"/>
        <v>129</v>
      </c>
      <c r="B133" s="97">
        <v>17950</v>
      </c>
      <c r="C133" s="39">
        <f t="shared" si="5"/>
        <v>1</v>
      </c>
      <c r="D133" s="97">
        <v>17</v>
      </c>
      <c r="E133" s="97">
        <v>4</v>
      </c>
      <c r="F133" s="98">
        <v>33740</v>
      </c>
      <c r="G133" s="98">
        <v>97</v>
      </c>
      <c r="H133" s="98">
        <v>1</v>
      </c>
      <c r="I133" s="98">
        <v>0</v>
      </c>
      <c r="J133" s="13"/>
      <c r="K133" s="13"/>
      <c r="L133" s="13"/>
      <c r="M133" s="13"/>
      <c r="V133">
        <f ca="1"/>
        <v>17</v>
      </c>
      <c r="W133">
        <f ca="1"/>
        <v>4</v>
      </c>
      <c r="X133">
        <f ca="1"/>
        <v>33740</v>
      </c>
      <c r="Y133">
        <f ca="1"/>
        <v>97</v>
      </c>
      <c r="Z133">
        <f ca="1"/>
        <v>1</v>
      </c>
      <c r="AA133">
        <f ca="1"/>
        <v>0</v>
      </c>
      <c r="AB133">
        <f ca="1"/>
        <v>17</v>
      </c>
      <c r="AC133">
        <f ca="1"/>
        <v>4</v>
      </c>
      <c r="AD133">
        <f ca="1"/>
        <v>33740</v>
      </c>
      <c r="AE133">
        <f ca="1"/>
        <v>97</v>
      </c>
      <c r="AF133">
        <f ca="1"/>
        <v>1</v>
      </c>
      <c r="AG133" t="str">
        <f ca="1"/>
        <v/>
      </c>
      <c r="AH133" t="str">
        <f ca="1"/>
        <v/>
      </c>
      <c r="AI133" t="str">
        <f ca="1"/>
        <v/>
      </c>
      <c r="AJ133" t="str">
        <f ca="1"/>
        <v/>
      </c>
      <c r="AK133" t="str">
        <f ca="1"/>
        <v/>
      </c>
      <c r="AL133" t="str">
        <f ca="1"/>
        <v/>
      </c>
      <c r="AM133" t="str">
        <f ca="1"/>
        <v/>
      </c>
      <c r="AN133" t="str">
        <f ca="1"/>
        <v/>
      </c>
    </row>
    <row r="134" spans="1:40" x14ac:dyDescent="0.25">
      <c r="A134" s="14">
        <f t="shared" si="7"/>
        <v>130</v>
      </c>
      <c r="B134" s="97">
        <v>15850</v>
      </c>
      <c r="C134" s="39">
        <f t="shared" ref="C134:C197" si="8">IF(B134&lt;&gt;"",1,"")</f>
        <v>1</v>
      </c>
      <c r="D134" s="97">
        <v>13</v>
      </c>
      <c r="E134" s="97">
        <v>8</v>
      </c>
      <c r="F134" s="98">
        <v>33477</v>
      </c>
      <c r="G134" s="98">
        <v>110</v>
      </c>
      <c r="H134" s="98">
        <v>1</v>
      </c>
      <c r="I134" s="98">
        <v>0</v>
      </c>
      <c r="J134" s="13"/>
      <c r="K134" s="13"/>
      <c r="L134" s="13"/>
      <c r="M134" s="13"/>
      <c r="V134">
        <f ca="1"/>
        <v>13</v>
      </c>
      <c r="W134">
        <f ca="1"/>
        <v>8</v>
      </c>
      <c r="X134">
        <f ca="1"/>
        <v>33477</v>
      </c>
      <c r="Y134">
        <f ca="1"/>
        <v>110</v>
      </c>
      <c r="Z134">
        <f ca="1"/>
        <v>1</v>
      </c>
      <c r="AA134">
        <f ca="1"/>
        <v>0</v>
      </c>
      <c r="AB134">
        <f ca="1"/>
        <v>13</v>
      </c>
      <c r="AC134">
        <f ca="1"/>
        <v>8</v>
      </c>
      <c r="AD134">
        <f ca="1"/>
        <v>33477</v>
      </c>
      <c r="AE134">
        <f ca="1"/>
        <v>110</v>
      </c>
      <c r="AF134">
        <f ca="1"/>
        <v>1</v>
      </c>
      <c r="AG134" t="str">
        <f ca="1"/>
        <v/>
      </c>
      <c r="AH134" t="str">
        <f ca="1"/>
        <v/>
      </c>
      <c r="AI134" t="str">
        <f ca="1"/>
        <v/>
      </c>
      <c r="AJ134" t="str">
        <f ca="1"/>
        <v/>
      </c>
      <c r="AK134" t="str">
        <f ca="1"/>
        <v/>
      </c>
      <c r="AL134" t="str">
        <f ca="1"/>
        <v/>
      </c>
      <c r="AM134" t="str">
        <f ca="1"/>
        <v/>
      </c>
      <c r="AN134" t="str">
        <f ca="1"/>
        <v/>
      </c>
    </row>
    <row r="135" spans="1:40" x14ac:dyDescent="0.25">
      <c r="A135" s="14">
        <f t="shared" si="7"/>
        <v>131</v>
      </c>
      <c r="B135" s="97">
        <v>16250</v>
      </c>
      <c r="C135" s="39">
        <f t="shared" si="8"/>
        <v>1</v>
      </c>
      <c r="D135" s="97">
        <v>20</v>
      </c>
      <c r="E135" s="97">
        <v>1</v>
      </c>
      <c r="F135" s="98">
        <v>32627</v>
      </c>
      <c r="G135" s="98">
        <v>97</v>
      </c>
      <c r="H135" s="98">
        <v>1</v>
      </c>
      <c r="I135" s="98">
        <v>0</v>
      </c>
      <c r="J135" s="13"/>
      <c r="K135" s="13"/>
      <c r="L135" s="13"/>
      <c r="M135" s="13"/>
      <c r="V135">
        <f ca="1"/>
        <v>20</v>
      </c>
      <c r="W135">
        <f ca="1"/>
        <v>1</v>
      </c>
      <c r="X135">
        <f ca="1"/>
        <v>32627</v>
      </c>
      <c r="Y135">
        <f ca="1"/>
        <v>97</v>
      </c>
      <c r="Z135">
        <f ca="1"/>
        <v>1</v>
      </c>
      <c r="AA135">
        <f ca="1"/>
        <v>0</v>
      </c>
      <c r="AB135">
        <f ca="1"/>
        <v>20</v>
      </c>
      <c r="AC135">
        <f ca="1"/>
        <v>1</v>
      </c>
      <c r="AD135">
        <f ca="1"/>
        <v>32627</v>
      </c>
      <c r="AE135">
        <f ca="1"/>
        <v>97</v>
      </c>
      <c r="AF135">
        <f ca="1"/>
        <v>1</v>
      </c>
      <c r="AG135" t="str">
        <f ca="1"/>
        <v/>
      </c>
      <c r="AH135" t="str">
        <f ca="1"/>
        <v/>
      </c>
      <c r="AI135" t="str">
        <f ca="1"/>
        <v/>
      </c>
      <c r="AJ135" t="str">
        <f ca="1"/>
        <v/>
      </c>
      <c r="AK135" t="str">
        <f ca="1"/>
        <v/>
      </c>
      <c r="AL135" t="str">
        <f ca="1"/>
        <v/>
      </c>
      <c r="AM135" t="str">
        <f ca="1"/>
        <v/>
      </c>
      <c r="AN135" t="str">
        <f ca="1"/>
        <v/>
      </c>
    </row>
    <row r="136" spans="1:40" x14ac:dyDescent="0.25">
      <c r="A136" s="14">
        <f t="shared" si="7"/>
        <v>132</v>
      </c>
      <c r="B136" s="97">
        <v>15950</v>
      </c>
      <c r="C136" s="39">
        <f t="shared" si="8"/>
        <v>1</v>
      </c>
      <c r="D136" s="97">
        <v>20</v>
      </c>
      <c r="E136" s="97">
        <v>1</v>
      </c>
      <c r="F136" s="98">
        <v>29797</v>
      </c>
      <c r="G136" s="98">
        <v>97</v>
      </c>
      <c r="H136" s="98">
        <v>1</v>
      </c>
      <c r="I136" s="98">
        <v>0</v>
      </c>
      <c r="J136" s="13"/>
      <c r="K136" s="13"/>
      <c r="L136" s="13"/>
      <c r="M136" s="13"/>
      <c r="V136">
        <f ca="1"/>
        <v>20</v>
      </c>
      <c r="W136">
        <f ca="1"/>
        <v>1</v>
      </c>
      <c r="X136">
        <f ca="1"/>
        <v>29797</v>
      </c>
      <c r="Y136">
        <f ca="1"/>
        <v>97</v>
      </c>
      <c r="Z136">
        <f ca="1"/>
        <v>1</v>
      </c>
      <c r="AA136">
        <f ca="1"/>
        <v>0</v>
      </c>
      <c r="AB136">
        <f ca="1"/>
        <v>20</v>
      </c>
      <c r="AC136">
        <f ca="1"/>
        <v>1</v>
      </c>
      <c r="AD136">
        <f ca="1"/>
        <v>29797</v>
      </c>
      <c r="AE136">
        <f ca="1"/>
        <v>97</v>
      </c>
      <c r="AF136">
        <f ca="1"/>
        <v>1</v>
      </c>
      <c r="AG136" t="str">
        <f ca="1"/>
        <v/>
      </c>
      <c r="AH136" t="str">
        <f ca="1"/>
        <v/>
      </c>
      <c r="AI136" t="str">
        <f ca="1"/>
        <v/>
      </c>
      <c r="AJ136" t="str">
        <f ca="1"/>
        <v/>
      </c>
      <c r="AK136" t="str">
        <f ca="1"/>
        <v/>
      </c>
      <c r="AL136" t="str">
        <f ca="1"/>
        <v/>
      </c>
      <c r="AM136" t="str">
        <f ca="1"/>
        <v/>
      </c>
      <c r="AN136" t="str">
        <f ca="1"/>
        <v/>
      </c>
    </row>
    <row r="137" spans="1:40" x14ac:dyDescent="0.25">
      <c r="A137" s="14">
        <f t="shared" si="7"/>
        <v>133</v>
      </c>
      <c r="B137" s="97">
        <v>16250</v>
      </c>
      <c r="C137" s="39">
        <f t="shared" si="8"/>
        <v>1</v>
      </c>
      <c r="D137" s="97">
        <v>19</v>
      </c>
      <c r="E137" s="97">
        <v>2</v>
      </c>
      <c r="F137" s="98">
        <v>29441</v>
      </c>
      <c r="G137" s="98">
        <v>97</v>
      </c>
      <c r="H137" s="98">
        <v>1</v>
      </c>
      <c r="I137" s="98">
        <v>0</v>
      </c>
      <c r="J137" s="13"/>
      <c r="K137" s="13"/>
      <c r="L137" s="13"/>
      <c r="M137" s="13"/>
      <c r="V137">
        <f ca="1"/>
        <v>19</v>
      </c>
      <c r="W137">
        <f ca="1"/>
        <v>2</v>
      </c>
      <c r="X137">
        <f ca="1"/>
        <v>29441</v>
      </c>
      <c r="Y137">
        <f ca="1"/>
        <v>97</v>
      </c>
      <c r="Z137">
        <f ca="1"/>
        <v>1</v>
      </c>
      <c r="AA137">
        <f ca="1"/>
        <v>0</v>
      </c>
      <c r="AB137">
        <f ca="1"/>
        <v>19</v>
      </c>
      <c r="AC137">
        <f ca="1"/>
        <v>2</v>
      </c>
      <c r="AD137">
        <f ca="1"/>
        <v>29441</v>
      </c>
      <c r="AE137">
        <f ca="1"/>
        <v>97</v>
      </c>
      <c r="AF137">
        <f ca="1"/>
        <v>1</v>
      </c>
      <c r="AG137" t="str">
        <f ca="1"/>
        <v/>
      </c>
      <c r="AH137" t="str">
        <f ca="1"/>
        <v/>
      </c>
      <c r="AI137" t="str">
        <f ca="1"/>
        <v/>
      </c>
      <c r="AJ137" t="str">
        <f ca="1"/>
        <v/>
      </c>
      <c r="AK137" t="str">
        <f ca="1"/>
        <v/>
      </c>
      <c r="AL137" t="str">
        <f ca="1"/>
        <v/>
      </c>
      <c r="AM137" t="str">
        <f ca="1"/>
        <v/>
      </c>
      <c r="AN137" t="str">
        <f ca="1"/>
        <v/>
      </c>
    </row>
    <row r="138" spans="1:40" x14ac:dyDescent="0.25">
      <c r="A138" s="14">
        <f t="shared" si="7"/>
        <v>134</v>
      </c>
      <c r="B138" s="97">
        <v>15950</v>
      </c>
      <c r="C138" s="39">
        <f t="shared" si="8"/>
        <v>1</v>
      </c>
      <c r="D138" s="97">
        <v>13</v>
      </c>
      <c r="E138" s="97">
        <v>8</v>
      </c>
      <c r="F138" s="98">
        <v>29371</v>
      </c>
      <c r="G138" s="98">
        <v>110</v>
      </c>
      <c r="H138" s="98">
        <v>1</v>
      </c>
      <c r="I138" s="98">
        <v>0</v>
      </c>
      <c r="J138" s="13"/>
      <c r="K138" s="13"/>
      <c r="L138" s="13"/>
      <c r="M138" s="13"/>
      <c r="V138">
        <f ca="1"/>
        <v>13</v>
      </c>
      <c r="W138">
        <f ca="1"/>
        <v>8</v>
      </c>
      <c r="X138">
        <f ca="1"/>
        <v>29371</v>
      </c>
      <c r="Y138">
        <f ca="1"/>
        <v>110</v>
      </c>
      <c r="Z138">
        <f ca="1"/>
        <v>1</v>
      </c>
      <c r="AA138">
        <f ca="1"/>
        <v>0</v>
      </c>
      <c r="AB138">
        <f ca="1"/>
        <v>13</v>
      </c>
      <c r="AC138">
        <f ca="1"/>
        <v>8</v>
      </c>
      <c r="AD138">
        <f ca="1"/>
        <v>29371</v>
      </c>
      <c r="AE138">
        <f ca="1"/>
        <v>110</v>
      </c>
      <c r="AF138">
        <f ca="1"/>
        <v>1</v>
      </c>
      <c r="AG138" t="str">
        <f ca="1"/>
        <v/>
      </c>
      <c r="AH138" t="str">
        <f ca="1"/>
        <v/>
      </c>
      <c r="AI138" t="str">
        <f ca="1"/>
        <v/>
      </c>
      <c r="AJ138" t="str">
        <f ca="1"/>
        <v/>
      </c>
      <c r="AK138" t="str">
        <f ca="1"/>
        <v/>
      </c>
      <c r="AL138" t="str">
        <f ca="1"/>
        <v/>
      </c>
      <c r="AM138" t="str">
        <f ca="1"/>
        <v/>
      </c>
      <c r="AN138" t="str">
        <f ca="1"/>
        <v/>
      </c>
    </row>
    <row r="139" spans="1:40" x14ac:dyDescent="0.25">
      <c r="A139" s="14">
        <f t="shared" si="7"/>
        <v>135</v>
      </c>
      <c r="B139" s="97">
        <v>16500</v>
      </c>
      <c r="C139" s="39">
        <f t="shared" si="8"/>
        <v>1</v>
      </c>
      <c r="D139" s="97">
        <v>20</v>
      </c>
      <c r="E139" s="97">
        <v>1</v>
      </c>
      <c r="F139" s="98">
        <v>29000</v>
      </c>
      <c r="G139" s="98">
        <v>97</v>
      </c>
      <c r="H139" s="98">
        <v>0</v>
      </c>
      <c r="I139" s="98">
        <v>0</v>
      </c>
      <c r="J139" s="13"/>
      <c r="K139" s="13"/>
      <c r="L139" s="13"/>
      <c r="M139" s="13"/>
      <c r="V139">
        <f ca="1"/>
        <v>20</v>
      </c>
      <c r="W139">
        <f ca="1"/>
        <v>1</v>
      </c>
      <c r="X139">
        <f ca="1"/>
        <v>29000</v>
      </c>
      <c r="Y139">
        <f ca="1"/>
        <v>97</v>
      </c>
      <c r="Z139">
        <f ca="1"/>
        <v>0</v>
      </c>
      <c r="AA139">
        <f ca="1"/>
        <v>0</v>
      </c>
      <c r="AB139">
        <f ca="1"/>
        <v>20</v>
      </c>
      <c r="AC139">
        <f ca="1"/>
        <v>1</v>
      </c>
      <c r="AD139">
        <f ca="1"/>
        <v>29000</v>
      </c>
      <c r="AE139">
        <f ca="1"/>
        <v>97</v>
      </c>
      <c r="AF139">
        <f ca="1"/>
        <v>0</v>
      </c>
      <c r="AG139" t="str">
        <f ca="1"/>
        <v/>
      </c>
      <c r="AH139" t="str">
        <f ca="1"/>
        <v/>
      </c>
      <c r="AI139" t="str">
        <f ca="1"/>
        <v/>
      </c>
      <c r="AJ139" t="str">
        <f ca="1"/>
        <v/>
      </c>
      <c r="AK139" t="str">
        <f ca="1"/>
        <v/>
      </c>
      <c r="AL139" t="str">
        <f ca="1"/>
        <v/>
      </c>
      <c r="AM139" t="str">
        <f ca="1"/>
        <v/>
      </c>
      <c r="AN139" t="str">
        <f ca="1"/>
        <v/>
      </c>
    </row>
    <row r="140" spans="1:40" x14ac:dyDescent="0.25">
      <c r="A140" s="14">
        <f t="shared" si="7"/>
        <v>136</v>
      </c>
      <c r="B140" s="97">
        <v>16500</v>
      </c>
      <c r="C140" s="39">
        <f t="shared" si="8"/>
        <v>1</v>
      </c>
      <c r="D140" s="97">
        <v>19</v>
      </c>
      <c r="E140" s="97">
        <v>2</v>
      </c>
      <c r="F140" s="98">
        <v>27821</v>
      </c>
      <c r="G140" s="98">
        <v>97</v>
      </c>
      <c r="H140" s="98">
        <v>0</v>
      </c>
      <c r="I140" s="98">
        <v>0</v>
      </c>
      <c r="J140" s="13"/>
      <c r="K140" s="13"/>
      <c r="L140" s="13"/>
      <c r="M140" s="13"/>
      <c r="V140">
        <f ca="1"/>
        <v>19</v>
      </c>
      <c r="W140">
        <f ca="1"/>
        <v>2</v>
      </c>
      <c r="X140">
        <f ca="1"/>
        <v>27821</v>
      </c>
      <c r="Y140">
        <f ca="1"/>
        <v>97</v>
      </c>
      <c r="Z140">
        <f ca="1"/>
        <v>0</v>
      </c>
      <c r="AA140">
        <f ca="1"/>
        <v>0</v>
      </c>
      <c r="AB140">
        <f ca="1"/>
        <v>19</v>
      </c>
      <c r="AC140">
        <f ca="1"/>
        <v>2</v>
      </c>
      <c r="AD140">
        <f ca="1"/>
        <v>27821</v>
      </c>
      <c r="AE140">
        <f ca="1"/>
        <v>97</v>
      </c>
      <c r="AF140">
        <f ca="1"/>
        <v>0</v>
      </c>
      <c r="AG140" t="str">
        <f ca="1"/>
        <v/>
      </c>
      <c r="AH140" t="str">
        <f ca="1"/>
        <v/>
      </c>
      <c r="AI140" t="str">
        <f ca="1"/>
        <v/>
      </c>
      <c r="AJ140" t="str">
        <f ca="1"/>
        <v/>
      </c>
      <c r="AK140" t="str">
        <f ca="1"/>
        <v/>
      </c>
      <c r="AL140" t="str">
        <f ca="1"/>
        <v/>
      </c>
      <c r="AM140" t="str">
        <f ca="1"/>
        <v/>
      </c>
      <c r="AN140" t="str">
        <f ca="1"/>
        <v/>
      </c>
    </row>
    <row r="141" spans="1:40" x14ac:dyDescent="0.25">
      <c r="A141" s="14">
        <f t="shared" si="7"/>
        <v>137</v>
      </c>
      <c r="B141" s="97">
        <v>18450</v>
      </c>
      <c r="C141" s="39">
        <f t="shared" si="8"/>
        <v>1</v>
      </c>
      <c r="D141" s="97">
        <v>19</v>
      </c>
      <c r="E141" s="97">
        <v>2</v>
      </c>
      <c r="F141" s="98">
        <v>27371</v>
      </c>
      <c r="G141" s="98">
        <v>97</v>
      </c>
      <c r="H141" s="98">
        <v>0</v>
      </c>
      <c r="I141" s="98">
        <v>0</v>
      </c>
      <c r="J141" s="13"/>
      <c r="K141" s="13"/>
      <c r="L141" s="13"/>
      <c r="M141" s="13"/>
      <c r="V141">
        <f ca="1"/>
        <v>19</v>
      </c>
      <c r="W141">
        <f ca="1"/>
        <v>2</v>
      </c>
      <c r="X141">
        <f ca="1"/>
        <v>27371</v>
      </c>
      <c r="Y141">
        <f ca="1"/>
        <v>97</v>
      </c>
      <c r="Z141">
        <f ca="1"/>
        <v>0</v>
      </c>
      <c r="AA141">
        <f ca="1"/>
        <v>0</v>
      </c>
      <c r="AB141">
        <f ca="1"/>
        <v>19</v>
      </c>
      <c r="AC141">
        <f ca="1"/>
        <v>2</v>
      </c>
      <c r="AD141">
        <f ca="1"/>
        <v>27371</v>
      </c>
      <c r="AE141">
        <f ca="1"/>
        <v>97</v>
      </c>
      <c r="AF141">
        <f ca="1"/>
        <v>0</v>
      </c>
      <c r="AG141" t="str">
        <f ca="1"/>
        <v/>
      </c>
      <c r="AH141" t="str">
        <f ca="1"/>
        <v/>
      </c>
      <c r="AI141" t="str">
        <f ca="1"/>
        <v/>
      </c>
      <c r="AJ141" t="str">
        <f ca="1"/>
        <v/>
      </c>
      <c r="AK141" t="str">
        <f ca="1"/>
        <v/>
      </c>
      <c r="AL141" t="str">
        <f ca="1"/>
        <v/>
      </c>
      <c r="AM141" t="str">
        <f ca="1"/>
        <v/>
      </c>
      <c r="AN141" t="str">
        <f ca="1"/>
        <v/>
      </c>
    </row>
    <row r="142" spans="1:40" x14ac:dyDescent="0.25">
      <c r="A142" s="14">
        <f t="shared" si="7"/>
        <v>138</v>
      </c>
      <c r="B142" s="97">
        <v>16250</v>
      </c>
      <c r="C142" s="39">
        <f t="shared" si="8"/>
        <v>1</v>
      </c>
      <c r="D142" s="97">
        <v>13</v>
      </c>
      <c r="E142" s="97">
        <v>8</v>
      </c>
      <c r="F142" s="98">
        <v>25170</v>
      </c>
      <c r="G142" s="98">
        <v>110</v>
      </c>
      <c r="H142" s="98">
        <v>1</v>
      </c>
      <c r="I142" s="98">
        <v>0</v>
      </c>
      <c r="J142" s="13"/>
      <c r="K142" s="13"/>
      <c r="L142" s="13"/>
      <c r="M142" s="13"/>
      <c r="V142">
        <f ca="1"/>
        <v>13</v>
      </c>
      <c r="W142">
        <f ca="1"/>
        <v>8</v>
      </c>
      <c r="X142">
        <f ca="1"/>
        <v>25170</v>
      </c>
      <c r="Y142">
        <f ca="1"/>
        <v>110</v>
      </c>
      <c r="Z142">
        <f ca="1"/>
        <v>1</v>
      </c>
      <c r="AA142">
        <f ca="1"/>
        <v>0</v>
      </c>
      <c r="AB142">
        <f ca="1"/>
        <v>13</v>
      </c>
      <c r="AC142">
        <f ca="1"/>
        <v>8</v>
      </c>
      <c r="AD142">
        <f ca="1"/>
        <v>25170</v>
      </c>
      <c r="AE142">
        <f ca="1"/>
        <v>110</v>
      </c>
      <c r="AF142">
        <f ca="1"/>
        <v>1</v>
      </c>
      <c r="AG142" t="str">
        <f ca="1"/>
        <v/>
      </c>
      <c r="AH142" t="str">
        <f ca="1"/>
        <v/>
      </c>
      <c r="AI142" t="str">
        <f ca="1"/>
        <v/>
      </c>
      <c r="AJ142" t="str">
        <f ca="1"/>
        <v/>
      </c>
      <c r="AK142" t="str">
        <f ca="1"/>
        <v/>
      </c>
      <c r="AL142" t="str">
        <f ca="1"/>
        <v/>
      </c>
      <c r="AM142" t="str">
        <f ca="1"/>
        <v/>
      </c>
      <c r="AN142" t="str">
        <f ca="1"/>
        <v/>
      </c>
    </row>
    <row r="143" spans="1:40" x14ac:dyDescent="0.25">
      <c r="A143" s="14">
        <f t="shared" si="7"/>
        <v>139</v>
      </c>
      <c r="B143" s="97">
        <v>23000</v>
      </c>
      <c r="C143" s="39">
        <f t="shared" si="8"/>
        <v>1</v>
      </c>
      <c r="D143" s="97">
        <v>11</v>
      </c>
      <c r="E143" s="97">
        <v>10</v>
      </c>
      <c r="F143" s="98">
        <v>25000</v>
      </c>
      <c r="G143" s="98">
        <v>116</v>
      </c>
      <c r="H143" s="98">
        <v>1</v>
      </c>
      <c r="I143" s="98">
        <v>0</v>
      </c>
      <c r="J143" s="13"/>
      <c r="K143" s="13"/>
      <c r="L143" s="13"/>
      <c r="M143" s="13"/>
      <c r="V143">
        <f ca="1"/>
        <v>11</v>
      </c>
      <c r="W143">
        <f ca="1"/>
        <v>10</v>
      </c>
      <c r="X143">
        <f ca="1"/>
        <v>25000</v>
      </c>
      <c r="Y143">
        <f ca="1"/>
        <v>116</v>
      </c>
      <c r="Z143">
        <f ca="1"/>
        <v>1</v>
      </c>
      <c r="AA143">
        <f ca="1"/>
        <v>0</v>
      </c>
      <c r="AB143">
        <f ca="1"/>
        <v>11</v>
      </c>
      <c r="AC143">
        <f ca="1"/>
        <v>10</v>
      </c>
      <c r="AD143">
        <f ca="1"/>
        <v>25000</v>
      </c>
      <c r="AE143">
        <f ca="1"/>
        <v>116</v>
      </c>
      <c r="AF143">
        <f ca="1"/>
        <v>1</v>
      </c>
      <c r="AG143" t="str">
        <f ca="1"/>
        <v/>
      </c>
      <c r="AH143" t="str">
        <f ca="1"/>
        <v/>
      </c>
      <c r="AI143" t="str">
        <f ca="1"/>
        <v/>
      </c>
      <c r="AJ143" t="str">
        <f ca="1"/>
        <v/>
      </c>
      <c r="AK143" t="str">
        <f ca="1"/>
        <v/>
      </c>
      <c r="AL143" t="str">
        <f ca="1"/>
        <v/>
      </c>
      <c r="AM143" t="str">
        <f ca="1"/>
        <v/>
      </c>
      <c r="AN143" t="str">
        <f ca="1"/>
        <v/>
      </c>
    </row>
    <row r="144" spans="1:40" x14ac:dyDescent="0.25">
      <c r="A144" s="14">
        <f t="shared" si="7"/>
        <v>140</v>
      </c>
      <c r="B144" s="97">
        <v>19900</v>
      </c>
      <c r="C144" s="39">
        <f t="shared" si="8"/>
        <v>1</v>
      </c>
      <c r="D144" s="97">
        <v>20</v>
      </c>
      <c r="E144" s="97">
        <v>1</v>
      </c>
      <c r="F144" s="98">
        <v>23000</v>
      </c>
      <c r="G144" s="98">
        <v>110</v>
      </c>
      <c r="H144" s="98">
        <v>1</v>
      </c>
      <c r="I144" s="98">
        <v>0</v>
      </c>
      <c r="J144" s="13"/>
      <c r="K144" s="13"/>
      <c r="L144" s="13"/>
      <c r="M144" s="13"/>
      <c r="V144">
        <f ca="1"/>
        <v>20</v>
      </c>
      <c r="W144">
        <f ca="1"/>
        <v>1</v>
      </c>
      <c r="X144">
        <f ca="1"/>
        <v>23000</v>
      </c>
      <c r="Y144">
        <f ca="1"/>
        <v>110</v>
      </c>
      <c r="Z144">
        <f ca="1"/>
        <v>1</v>
      </c>
      <c r="AA144">
        <f ca="1"/>
        <v>0</v>
      </c>
      <c r="AB144">
        <f ca="1"/>
        <v>20</v>
      </c>
      <c r="AC144">
        <f ca="1"/>
        <v>1</v>
      </c>
      <c r="AD144">
        <f ca="1"/>
        <v>23000</v>
      </c>
      <c r="AE144">
        <f ca="1"/>
        <v>110</v>
      </c>
      <c r="AF144">
        <f ca="1"/>
        <v>1</v>
      </c>
      <c r="AG144" t="str">
        <f ca="1"/>
        <v/>
      </c>
      <c r="AH144" t="str">
        <f ca="1"/>
        <v/>
      </c>
      <c r="AI144" t="str">
        <f ca="1"/>
        <v/>
      </c>
      <c r="AJ144" t="str">
        <f ca="1"/>
        <v/>
      </c>
      <c r="AK144" t="str">
        <f ca="1"/>
        <v/>
      </c>
      <c r="AL144" t="str">
        <f ca="1"/>
        <v/>
      </c>
      <c r="AM144" t="str">
        <f ca="1"/>
        <v/>
      </c>
      <c r="AN144" t="str">
        <f ca="1"/>
        <v/>
      </c>
    </row>
    <row r="145" spans="1:40" x14ac:dyDescent="0.25">
      <c r="A145" s="14">
        <f t="shared" si="7"/>
        <v>141</v>
      </c>
      <c r="B145" s="97">
        <v>16450</v>
      </c>
      <c r="C145" s="39">
        <f t="shared" si="8"/>
        <v>1</v>
      </c>
      <c r="D145" s="97">
        <v>20</v>
      </c>
      <c r="E145" s="97">
        <v>1</v>
      </c>
      <c r="F145" s="98">
        <v>22588</v>
      </c>
      <c r="G145" s="98">
        <v>97</v>
      </c>
      <c r="H145" s="98">
        <v>1</v>
      </c>
      <c r="I145" s="98">
        <v>0</v>
      </c>
      <c r="J145" s="13"/>
      <c r="K145" s="13"/>
      <c r="L145" s="13"/>
      <c r="M145" s="13"/>
      <c r="V145">
        <f ca="1"/>
        <v>20</v>
      </c>
      <c r="W145">
        <f ca="1"/>
        <v>1</v>
      </c>
      <c r="X145">
        <f ca="1"/>
        <v>22588</v>
      </c>
      <c r="Y145">
        <f ca="1"/>
        <v>97</v>
      </c>
      <c r="Z145">
        <f ca="1"/>
        <v>1</v>
      </c>
      <c r="AA145">
        <f ca="1"/>
        <v>0</v>
      </c>
      <c r="AB145">
        <f ca="1"/>
        <v>20</v>
      </c>
      <c r="AC145">
        <f ca="1"/>
        <v>1</v>
      </c>
      <c r="AD145">
        <f ca="1"/>
        <v>22588</v>
      </c>
      <c r="AE145">
        <f ca="1"/>
        <v>97</v>
      </c>
      <c r="AF145">
        <f ca="1"/>
        <v>1</v>
      </c>
      <c r="AG145" t="str">
        <f ca="1"/>
        <v/>
      </c>
      <c r="AH145" t="str">
        <f ca="1"/>
        <v/>
      </c>
      <c r="AI145" t="str">
        <f ca="1"/>
        <v/>
      </c>
      <c r="AJ145" t="str">
        <f ca="1"/>
        <v/>
      </c>
      <c r="AK145" t="str">
        <f ca="1"/>
        <v/>
      </c>
      <c r="AL145" t="str">
        <f ca="1"/>
        <v/>
      </c>
      <c r="AM145" t="str">
        <f ca="1"/>
        <v/>
      </c>
      <c r="AN145" t="str">
        <f ca="1"/>
        <v/>
      </c>
    </row>
    <row r="146" spans="1:40" x14ac:dyDescent="0.25">
      <c r="A146" s="14">
        <f t="shared" si="7"/>
        <v>142</v>
      </c>
      <c r="B146" s="97">
        <v>23950</v>
      </c>
      <c r="C146" s="39">
        <f t="shared" si="8"/>
        <v>1</v>
      </c>
      <c r="D146" s="97">
        <v>19</v>
      </c>
      <c r="E146" s="97">
        <v>2</v>
      </c>
      <c r="F146" s="98">
        <v>21684</v>
      </c>
      <c r="G146" s="98">
        <v>192</v>
      </c>
      <c r="H146" s="98">
        <v>1</v>
      </c>
      <c r="I146" s="98">
        <v>0</v>
      </c>
      <c r="J146" s="13"/>
      <c r="K146" s="13"/>
      <c r="L146" s="13"/>
      <c r="M146" s="13"/>
      <c r="V146">
        <f ca="1"/>
        <v>19</v>
      </c>
      <c r="W146">
        <f ca="1"/>
        <v>2</v>
      </c>
      <c r="X146">
        <f ca="1"/>
        <v>21684</v>
      </c>
      <c r="Y146">
        <f ca="1"/>
        <v>192</v>
      </c>
      <c r="Z146">
        <f ca="1"/>
        <v>1</v>
      </c>
      <c r="AA146">
        <f ca="1"/>
        <v>0</v>
      </c>
      <c r="AB146">
        <f ca="1"/>
        <v>19</v>
      </c>
      <c r="AC146">
        <f ca="1"/>
        <v>2</v>
      </c>
      <c r="AD146">
        <f ca="1"/>
        <v>21684</v>
      </c>
      <c r="AE146">
        <f ca="1"/>
        <v>192</v>
      </c>
      <c r="AF146">
        <f ca="1"/>
        <v>1</v>
      </c>
      <c r="AG146" t="str">
        <f ca="1"/>
        <v/>
      </c>
      <c r="AH146" t="str">
        <f ca="1"/>
        <v/>
      </c>
      <c r="AI146" t="str">
        <f ca="1"/>
        <v/>
      </c>
      <c r="AJ146" t="str">
        <f ca="1"/>
        <v/>
      </c>
      <c r="AK146" t="str">
        <f ca="1"/>
        <v/>
      </c>
      <c r="AL146" t="str">
        <f ca="1"/>
        <v/>
      </c>
      <c r="AM146" t="str">
        <f ca="1"/>
        <v/>
      </c>
      <c r="AN146" t="str">
        <f ca="1"/>
        <v/>
      </c>
    </row>
    <row r="147" spans="1:40" x14ac:dyDescent="0.25">
      <c r="A147" s="14">
        <f t="shared" si="7"/>
        <v>143</v>
      </c>
      <c r="B147" s="97">
        <v>19950</v>
      </c>
      <c r="C147" s="39">
        <f t="shared" si="8"/>
        <v>1</v>
      </c>
      <c r="D147" s="97">
        <v>13</v>
      </c>
      <c r="E147" s="97">
        <v>8</v>
      </c>
      <c r="F147" s="98">
        <v>21428</v>
      </c>
      <c r="G147" s="98">
        <v>110</v>
      </c>
      <c r="H147" s="98">
        <v>1</v>
      </c>
      <c r="I147" s="98">
        <v>0</v>
      </c>
      <c r="J147" s="13"/>
      <c r="K147" s="13"/>
      <c r="L147" s="13"/>
      <c r="M147" s="13"/>
      <c r="V147">
        <f ca="1"/>
        <v>13</v>
      </c>
      <c r="W147">
        <f ca="1"/>
        <v>8</v>
      </c>
      <c r="X147">
        <f ca="1"/>
        <v>21428</v>
      </c>
      <c r="Y147">
        <f ca="1"/>
        <v>110</v>
      </c>
      <c r="Z147">
        <f ca="1"/>
        <v>1</v>
      </c>
      <c r="AA147">
        <f ca="1"/>
        <v>0</v>
      </c>
      <c r="AB147">
        <f ca="1"/>
        <v>13</v>
      </c>
      <c r="AC147">
        <f ca="1"/>
        <v>8</v>
      </c>
      <c r="AD147">
        <f ca="1"/>
        <v>21428</v>
      </c>
      <c r="AE147">
        <f ca="1"/>
        <v>110</v>
      </c>
      <c r="AF147">
        <f ca="1"/>
        <v>1</v>
      </c>
      <c r="AG147" t="str">
        <f ca="1"/>
        <v/>
      </c>
      <c r="AH147" t="str">
        <f ca="1"/>
        <v/>
      </c>
      <c r="AI147" t="str">
        <f ca="1"/>
        <v/>
      </c>
      <c r="AJ147" t="str">
        <f ca="1"/>
        <v/>
      </c>
      <c r="AK147" t="str">
        <f ca="1"/>
        <v/>
      </c>
      <c r="AL147" t="str">
        <f ca="1"/>
        <v/>
      </c>
      <c r="AM147" t="str">
        <f ca="1"/>
        <v/>
      </c>
      <c r="AN147" t="str">
        <f ca="1"/>
        <v/>
      </c>
    </row>
    <row r="148" spans="1:40" x14ac:dyDescent="0.25">
      <c r="A148" s="14">
        <f t="shared" si="7"/>
        <v>144</v>
      </c>
      <c r="B148" s="97">
        <v>18500</v>
      </c>
      <c r="C148" s="39">
        <f t="shared" si="8"/>
        <v>1</v>
      </c>
      <c r="D148" s="97">
        <v>16</v>
      </c>
      <c r="E148" s="97">
        <v>5</v>
      </c>
      <c r="F148" s="98">
        <v>20629</v>
      </c>
      <c r="G148" s="98">
        <v>110</v>
      </c>
      <c r="H148" s="98">
        <v>1</v>
      </c>
      <c r="I148" s="98">
        <v>0</v>
      </c>
      <c r="J148" s="13"/>
      <c r="K148" s="13"/>
      <c r="L148" s="13"/>
      <c r="M148" s="13"/>
      <c r="V148">
        <f ca="1"/>
        <v>16</v>
      </c>
      <c r="W148">
        <f ca="1"/>
        <v>5</v>
      </c>
      <c r="X148">
        <f ca="1"/>
        <v>20629</v>
      </c>
      <c r="Y148">
        <f ca="1"/>
        <v>110</v>
      </c>
      <c r="Z148">
        <f ca="1"/>
        <v>1</v>
      </c>
      <c r="AA148">
        <f ca="1"/>
        <v>0</v>
      </c>
      <c r="AB148">
        <f ca="1"/>
        <v>16</v>
      </c>
      <c r="AC148">
        <f ca="1"/>
        <v>5</v>
      </c>
      <c r="AD148">
        <f ca="1"/>
        <v>20629</v>
      </c>
      <c r="AE148">
        <f ca="1"/>
        <v>110</v>
      </c>
      <c r="AF148">
        <f ca="1"/>
        <v>1</v>
      </c>
      <c r="AG148" t="str">
        <f ca="1"/>
        <v/>
      </c>
      <c r="AH148" t="str">
        <f ca="1"/>
        <v/>
      </c>
      <c r="AI148" t="str">
        <f ca="1"/>
        <v/>
      </c>
      <c r="AJ148" t="str">
        <f ca="1"/>
        <v/>
      </c>
      <c r="AK148" t="str">
        <f ca="1"/>
        <v/>
      </c>
      <c r="AL148" t="str">
        <f ca="1"/>
        <v/>
      </c>
      <c r="AM148" t="str">
        <f ca="1"/>
        <v/>
      </c>
      <c r="AN148" t="str">
        <f ca="1"/>
        <v/>
      </c>
    </row>
    <row r="149" spans="1:40" x14ac:dyDescent="0.25">
      <c r="A149" s="14">
        <f t="shared" si="7"/>
        <v>145</v>
      </c>
      <c r="B149" s="97">
        <v>18950</v>
      </c>
      <c r="C149" s="39">
        <f t="shared" si="8"/>
        <v>1</v>
      </c>
      <c r="D149" s="97">
        <v>15</v>
      </c>
      <c r="E149" s="97">
        <v>6</v>
      </c>
      <c r="F149" s="98">
        <v>20270</v>
      </c>
      <c r="G149" s="98">
        <v>110</v>
      </c>
      <c r="H149" s="98">
        <v>1</v>
      </c>
      <c r="I149" s="98">
        <v>0</v>
      </c>
      <c r="J149" s="13"/>
      <c r="K149" s="13"/>
      <c r="L149" s="13"/>
      <c r="M149" s="13"/>
      <c r="V149">
        <f ca="1"/>
        <v>15</v>
      </c>
      <c r="W149">
        <f ca="1"/>
        <v>6</v>
      </c>
      <c r="X149">
        <f ca="1"/>
        <v>20270</v>
      </c>
      <c r="Y149">
        <f ca="1"/>
        <v>110</v>
      </c>
      <c r="Z149">
        <f ca="1"/>
        <v>1</v>
      </c>
      <c r="AA149">
        <f ca="1"/>
        <v>0</v>
      </c>
      <c r="AB149">
        <f ca="1"/>
        <v>15</v>
      </c>
      <c r="AC149">
        <f ca="1"/>
        <v>6</v>
      </c>
      <c r="AD149">
        <f ca="1"/>
        <v>20270</v>
      </c>
      <c r="AE149">
        <f ca="1"/>
        <v>110</v>
      </c>
      <c r="AF149">
        <f ca="1"/>
        <v>1</v>
      </c>
      <c r="AG149" t="str">
        <f ca="1"/>
        <v/>
      </c>
      <c r="AH149" t="str">
        <f ca="1"/>
        <v/>
      </c>
      <c r="AI149" t="str">
        <f ca="1"/>
        <v/>
      </c>
      <c r="AJ149" t="str">
        <f ca="1"/>
        <v/>
      </c>
      <c r="AK149" t="str">
        <f ca="1"/>
        <v/>
      </c>
      <c r="AL149" t="str">
        <f ca="1"/>
        <v/>
      </c>
      <c r="AM149" t="str">
        <f ca="1"/>
        <v/>
      </c>
      <c r="AN149" t="str">
        <f ca="1"/>
        <v/>
      </c>
    </row>
    <row r="150" spans="1:40" x14ac:dyDescent="0.25">
      <c r="A150" s="14">
        <f t="shared" si="7"/>
        <v>146</v>
      </c>
      <c r="B150" s="97">
        <v>16450</v>
      </c>
      <c r="C150" s="39">
        <f t="shared" si="8"/>
        <v>1</v>
      </c>
      <c r="D150" s="97">
        <v>16</v>
      </c>
      <c r="E150" s="97">
        <v>5</v>
      </c>
      <c r="F150" s="98">
        <v>20105</v>
      </c>
      <c r="G150" s="98">
        <v>97</v>
      </c>
      <c r="H150" s="98">
        <v>0</v>
      </c>
      <c r="I150" s="98">
        <v>0</v>
      </c>
      <c r="J150" s="13"/>
      <c r="K150" s="13"/>
      <c r="L150" s="13"/>
      <c r="M150" s="13"/>
      <c r="V150">
        <f ca="1"/>
        <v>16</v>
      </c>
      <c r="W150">
        <f ca="1"/>
        <v>5</v>
      </c>
      <c r="X150">
        <f ca="1"/>
        <v>20105</v>
      </c>
      <c r="Y150">
        <f ca="1"/>
        <v>97</v>
      </c>
      <c r="Z150">
        <f ca="1"/>
        <v>0</v>
      </c>
      <c r="AA150">
        <f ca="1"/>
        <v>0</v>
      </c>
      <c r="AB150">
        <f ca="1"/>
        <v>16</v>
      </c>
      <c r="AC150">
        <f ca="1"/>
        <v>5</v>
      </c>
      <c r="AD150">
        <f ca="1"/>
        <v>20105</v>
      </c>
      <c r="AE150">
        <f ca="1"/>
        <v>97</v>
      </c>
      <c r="AF150">
        <f ca="1"/>
        <v>0</v>
      </c>
      <c r="AG150" t="str">
        <f ca="1"/>
        <v/>
      </c>
      <c r="AH150" t="str">
        <f ca="1"/>
        <v/>
      </c>
      <c r="AI150" t="str">
        <f ca="1"/>
        <v/>
      </c>
      <c r="AJ150" t="str">
        <f ca="1"/>
        <v/>
      </c>
      <c r="AK150" t="str">
        <f ca="1"/>
        <v/>
      </c>
      <c r="AL150" t="str">
        <f ca="1"/>
        <v/>
      </c>
      <c r="AM150" t="str">
        <f ca="1"/>
        <v/>
      </c>
      <c r="AN150" t="str">
        <f ca="1"/>
        <v/>
      </c>
    </row>
    <row r="151" spans="1:40" x14ac:dyDescent="0.25">
      <c r="A151" s="14">
        <f t="shared" si="7"/>
        <v>147</v>
      </c>
      <c r="B151" s="97">
        <v>20500</v>
      </c>
      <c r="C151" s="39">
        <f t="shared" si="8"/>
        <v>1</v>
      </c>
      <c r="D151" s="97">
        <v>20</v>
      </c>
      <c r="E151" s="97">
        <v>1</v>
      </c>
      <c r="F151" s="98">
        <v>20000</v>
      </c>
      <c r="G151" s="98">
        <v>110</v>
      </c>
      <c r="H151" s="98">
        <v>0</v>
      </c>
      <c r="I151" s="98">
        <v>1</v>
      </c>
      <c r="J151" s="13"/>
      <c r="K151" s="13"/>
      <c r="L151" s="13"/>
      <c r="M151" s="13"/>
      <c r="V151">
        <f ca="1"/>
        <v>20</v>
      </c>
      <c r="W151">
        <f ca="1"/>
        <v>1</v>
      </c>
      <c r="X151">
        <f ca="1"/>
        <v>20000</v>
      </c>
      <c r="Y151">
        <f ca="1"/>
        <v>110</v>
      </c>
      <c r="Z151">
        <f ca="1"/>
        <v>0</v>
      </c>
      <c r="AA151">
        <f ca="1"/>
        <v>1</v>
      </c>
      <c r="AB151">
        <f ca="1"/>
        <v>20</v>
      </c>
      <c r="AC151">
        <f ca="1"/>
        <v>1</v>
      </c>
      <c r="AD151">
        <f ca="1"/>
        <v>20000</v>
      </c>
      <c r="AE151">
        <f ca="1"/>
        <v>110</v>
      </c>
      <c r="AF151">
        <f ca="1"/>
        <v>0</v>
      </c>
      <c r="AG151" t="str">
        <f ca="1"/>
        <v/>
      </c>
      <c r="AH151" t="str">
        <f ca="1"/>
        <v/>
      </c>
      <c r="AI151" t="str">
        <f ca="1"/>
        <v/>
      </c>
      <c r="AJ151" t="str">
        <f ca="1"/>
        <v/>
      </c>
      <c r="AK151" t="str">
        <f ca="1"/>
        <v/>
      </c>
      <c r="AL151" t="str">
        <f ca="1"/>
        <v/>
      </c>
      <c r="AM151" t="str">
        <f ca="1"/>
        <v/>
      </c>
      <c r="AN151" t="str">
        <f ca="1"/>
        <v/>
      </c>
    </row>
    <row r="152" spans="1:40" x14ac:dyDescent="0.25">
      <c r="A152" s="14">
        <f t="shared" si="7"/>
        <v>148</v>
      </c>
      <c r="B152" s="97">
        <v>24500</v>
      </c>
      <c r="C152" s="39">
        <f t="shared" si="8"/>
        <v>1</v>
      </c>
      <c r="D152" s="97">
        <v>13</v>
      </c>
      <c r="E152" s="97">
        <v>8</v>
      </c>
      <c r="F152" s="98">
        <v>19988</v>
      </c>
      <c r="G152" s="98">
        <v>110</v>
      </c>
      <c r="H152" s="98">
        <v>1</v>
      </c>
      <c r="I152" s="98">
        <v>0</v>
      </c>
      <c r="J152" s="13"/>
      <c r="K152" s="13"/>
      <c r="L152" s="13"/>
      <c r="M152" s="13"/>
      <c r="V152">
        <f ca="1"/>
        <v>13</v>
      </c>
      <c r="W152">
        <f ca="1"/>
        <v>8</v>
      </c>
      <c r="X152">
        <f ca="1"/>
        <v>19988</v>
      </c>
      <c r="Y152">
        <f ca="1"/>
        <v>110</v>
      </c>
      <c r="Z152">
        <f ca="1"/>
        <v>1</v>
      </c>
      <c r="AA152">
        <f ca="1"/>
        <v>0</v>
      </c>
      <c r="AB152">
        <f ca="1"/>
        <v>13</v>
      </c>
      <c r="AC152">
        <f ca="1"/>
        <v>8</v>
      </c>
      <c r="AD152">
        <f ca="1"/>
        <v>19988</v>
      </c>
      <c r="AE152">
        <f ca="1"/>
        <v>110</v>
      </c>
      <c r="AF152">
        <f ca="1"/>
        <v>1</v>
      </c>
      <c r="AG152" t="str">
        <f ca="1"/>
        <v/>
      </c>
      <c r="AH152" t="str">
        <f ca="1"/>
        <v/>
      </c>
      <c r="AI152" t="str">
        <f ca="1"/>
        <v/>
      </c>
      <c r="AJ152" t="str">
        <f ca="1"/>
        <v/>
      </c>
      <c r="AK152" t="str">
        <f ca="1"/>
        <v/>
      </c>
      <c r="AL152" t="str">
        <f ca="1"/>
        <v/>
      </c>
      <c r="AM152" t="str">
        <f ca="1"/>
        <v/>
      </c>
      <c r="AN152" t="str">
        <f ca="1"/>
        <v/>
      </c>
    </row>
    <row r="153" spans="1:40" x14ac:dyDescent="0.25">
      <c r="A153" s="14">
        <f t="shared" si="7"/>
        <v>149</v>
      </c>
      <c r="B153" s="97">
        <v>19450</v>
      </c>
      <c r="C153" s="39">
        <f t="shared" si="8"/>
        <v>1</v>
      </c>
      <c r="D153" s="97">
        <v>19</v>
      </c>
      <c r="E153" s="97">
        <v>2</v>
      </c>
      <c r="F153" s="98">
        <v>18328</v>
      </c>
      <c r="G153" s="98">
        <v>110</v>
      </c>
      <c r="H153" s="98">
        <v>0</v>
      </c>
      <c r="I153" s="98">
        <v>0</v>
      </c>
      <c r="J153" s="13"/>
      <c r="K153" s="13"/>
      <c r="L153" s="13"/>
      <c r="M153" s="13"/>
      <c r="V153">
        <f ca="1"/>
        <v>19</v>
      </c>
      <c r="W153">
        <f ca="1"/>
        <v>2</v>
      </c>
      <c r="X153">
        <f ca="1"/>
        <v>18328</v>
      </c>
      <c r="Y153">
        <f ca="1"/>
        <v>110</v>
      </c>
      <c r="Z153">
        <f ca="1"/>
        <v>0</v>
      </c>
      <c r="AA153">
        <f ca="1"/>
        <v>0</v>
      </c>
      <c r="AB153">
        <f ca="1"/>
        <v>19</v>
      </c>
      <c r="AC153">
        <f ca="1"/>
        <v>2</v>
      </c>
      <c r="AD153">
        <f ca="1"/>
        <v>18328</v>
      </c>
      <c r="AE153">
        <f ca="1"/>
        <v>110</v>
      </c>
      <c r="AF153">
        <f ca="1"/>
        <v>0</v>
      </c>
      <c r="AG153" t="str">
        <f ca="1"/>
        <v/>
      </c>
      <c r="AH153" t="str">
        <f ca="1"/>
        <v/>
      </c>
      <c r="AI153" t="str">
        <f ca="1"/>
        <v/>
      </c>
      <c r="AJ153" t="str">
        <f ca="1"/>
        <v/>
      </c>
      <c r="AK153" t="str">
        <f ca="1"/>
        <v/>
      </c>
      <c r="AL153" t="str">
        <f ca="1"/>
        <v/>
      </c>
      <c r="AM153" t="str">
        <f ca="1"/>
        <v/>
      </c>
      <c r="AN153" t="str">
        <f ca="1"/>
        <v/>
      </c>
    </row>
    <row r="154" spans="1:40" x14ac:dyDescent="0.25">
      <c r="A154" s="14">
        <f t="shared" si="7"/>
        <v>150</v>
      </c>
      <c r="B154" s="97">
        <v>20950</v>
      </c>
      <c r="C154" s="39">
        <f t="shared" si="8"/>
        <v>1</v>
      </c>
      <c r="D154" s="97">
        <v>14</v>
      </c>
      <c r="E154" s="97">
        <v>7</v>
      </c>
      <c r="F154" s="98">
        <v>17896</v>
      </c>
      <c r="G154" s="98">
        <v>110</v>
      </c>
      <c r="H154" s="98">
        <v>1</v>
      </c>
      <c r="I154" s="98">
        <v>1</v>
      </c>
      <c r="J154" s="13"/>
      <c r="K154" s="13"/>
      <c r="L154" s="13"/>
      <c r="M154" s="13"/>
      <c r="V154">
        <f ca="1"/>
        <v>14</v>
      </c>
      <c r="W154">
        <f ca="1"/>
        <v>7</v>
      </c>
      <c r="X154">
        <f ca="1"/>
        <v>17896</v>
      </c>
      <c r="Y154">
        <f ca="1"/>
        <v>110</v>
      </c>
      <c r="Z154">
        <f ca="1"/>
        <v>1</v>
      </c>
      <c r="AA154">
        <f ca="1"/>
        <v>1</v>
      </c>
      <c r="AB154">
        <f ca="1"/>
        <v>14</v>
      </c>
      <c r="AC154">
        <f ca="1"/>
        <v>7</v>
      </c>
      <c r="AD154">
        <f ca="1"/>
        <v>17896</v>
      </c>
      <c r="AE154">
        <f ca="1"/>
        <v>110</v>
      </c>
      <c r="AF154">
        <f ca="1"/>
        <v>1</v>
      </c>
      <c r="AG154" t="str">
        <f ca="1"/>
        <v/>
      </c>
      <c r="AH154" t="str">
        <f ca="1"/>
        <v/>
      </c>
      <c r="AI154" t="str">
        <f ca="1"/>
        <v/>
      </c>
      <c r="AJ154" t="str">
        <f ca="1"/>
        <v/>
      </c>
      <c r="AK154" t="str">
        <f ca="1"/>
        <v/>
      </c>
      <c r="AL154" t="str">
        <f ca="1"/>
        <v/>
      </c>
      <c r="AM154" t="str">
        <f ca="1"/>
        <v/>
      </c>
      <c r="AN154" t="str">
        <f ca="1"/>
        <v/>
      </c>
    </row>
    <row r="155" spans="1:40" x14ac:dyDescent="0.25">
      <c r="A155" s="14">
        <f t="shared" si="7"/>
        <v>151</v>
      </c>
      <c r="B155" s="97">
        <v>17200</v>
      </c>
      <c r="C155" s="39">
        <f t="shared" si="8"/>
        <v>1</v>
      </c>
      <c r="D155" s="97">
        <v>20</v>
      </c>
      <c r="E155" s="97">
        <v>1</v>
      </c>
      <c r="F155" s="98">
        <v>17300</v>
      </c>
      <c r="G155" s="98">
        <v>97</v>
      </c>
      <c r="H155" s="98">
        <v>1</v>
      </c>
      <c r="I155" s="98">
        <v>0</v>
      </c>
      <c r="J155" s="13"/>
      <c r="K155" s="13"/>
      <c r="L155" s="13"/>
      <c r="M155" s="13"/>
      <c r="V155">
        <f ca="1"/>
        <v>20</v>
      </c>
      <c r="W155">
        <f ca="1"/>
        <v>1</v>
      </c>
      <c r="X155">
        <f ca="1"/>
        <v>17300</v>
      </c>
      <c r="Y155">
        <f ca="1"/>
        <v>97</v>
      </c>
      <c r="Z155">
        <f ca="1"/>
        <v>1</v>
      </c>
      <c r="AA155">
        <f ca="1"/>
        <v>0</v>
      </c>
      <c r="AB155">
        <f ca="1"/>
        <v>20</v>
      </c>
      <c r="AC155">
        <f ca="1"/>
        <v>1</v>
      </c>
      <c r="AD155">
        <f ca="1"/>
        <v>17300</v>
      </c>
      <c r="AE155">
        <f ca="1"/>
        <v>97</v>
      </c>
      <c r="AF155">
        <f ca="1"/>
        <v>1</v>
      </c>
      <c r="AG155" t="str">
        <f ca="1"/>
        <v/>
      </c>
      <c r="AH155" t="str">
        <f ca="1"/>
        <v/>
      </c>
      <c r="AI155" t="str">
        <f ca="1"/>
        <v/>
      </c>
      <c r="AJ155" t="str">
        <f ca="1"/>
        <v/>
      </c>
      <c r="AK155" t="str">
        <f ca="1"/>
        <v/>
      </c>
      <c r="AL155" t="str">
        <f ca="1"/>
        <v/>
      </c>
      <c r="AM155" t="str">
        <f ca="1"/>
        <v/>
      </c>
      <c r="AN155" t="str">
        <f ca="1"/>
        <v/>
      </c>
    </row>
    <row r="156" spans="1:40" x14ac:dyDescent="0.25">
      <c r="A156" s="14">
        <f t="shared" si="7"/>
        <v>152</v>
      </c>
      <c r="B156" s="97">
        <v>19950</v>
      </c>
      <c r="C156" s="39">
        <f t="shared" si="8"/>
        <v>1</v>
      </c>
      <c r="D156" s="97">
        <v>19</v>
      </c>
      <c r="E156" s="97">
        <v>2</v>
      </c>
      <c r="F156" s="98">
        <v>17038</v>
      </c>
      <c r="G156" s="98">
        <v>110</v>
      </c>
      <c r="H156" s="98">
        <v>0</v>
      </c>
      <c r="I156" s="98">
        <v>0</v>
      </c>
      <c r="J156" s="13"/>
      <c r="K156" s="13"/>
      <c r="L156" s="13"/>
      <c r="M156" s="13"/>
      <c r="V156">
        <f ca="1"/>
        <v>19</v>
      </c>
      <c r="W156">
        <f ca="1"/>
        <v>2</v>
      </c>
      <c r="X156">
        <f ca="1"/>
        <v>17038</v>
      </c>
      <c r="Y156">
        <f ca="1"/>
        <v>110</v>
      </c>
      <c r="Z156">
        <f ca="1"/>
        <v>0</v>
      </c>
      <c r="AA156">
        <f ca="1"/>
        <v>0</v>
      </c>
      <c r="AB156">
        <f ca="1"/>
        <v>19</v>
      </c>
      <c r="AC156">
        <f ca="1"/>
        <v>2</v>
      </c>
      <c r="AD156">
        <f ca="1"/>
        <v>17038</v>
      </c>
      <c r="AE156">
        <f ca="1"/>
        <v>110</v>
      </c>
      <c r="AF156">
        <f ca="1"/>
        <v>0</v>
      </c>
      <c r="AG156" t="str">
        <f ca="1"/>
        <v/>
      </c>
      <c r="AH156" t="str">
        <f ca="1"/>
        <v/>
      </c>
      <c r="AI156" t="str">
        <f ca="1"/>
        <v/>
      </c>
      <c r="AJ156" t="str">
        <f ca="1"/>
        <v/>
      </c>
      <c r="AK156" t="str">
        <f ca="1"/>
        <v/>
      </c>
      <c r="AL156" t="str">
        <f ca="1"/>
        <v/>
      </c>
      <c r="AM156" t="str">
        <f ca="1"/>
        <v/>
      </c>
      <c r="AN156" t="str">
        <f ca="1"/>
        <v/>
      </c>
    </row>
    <row r="157" spans="1:40" x14ac:dyDescent="0.25">
      <c r="A157" s="14">
        <f t="shared" si="7"/>
        <v>153</v>
      </c>
      <c r="B157" s="97">
        <v>18450</v>
      </c>
      <c r="C157" s="39">
        <f t="shared" si="8"/>
        <v>1</v>
      </c>
      <c r="D157" s="97">
        <v>10</v>
      </c>
      <c r="E157" s="97">
        <v>11</v>
      </c>
      <c r="F157" s="98">
        <v>13747</v>
      </c>
      <c r="G157" s="98">
        <v>97</v>
      </c>
      <c r="H157" s="98">
        <v>1</v>
      </c>
      <c r="I157" s="98">
        <v>0</v>
      </c>
      <c r="J157" s="13"/>
      <c r="K157" s="13"/>
      <c r="L157" s="13"/>
      <c r="M157" s="13"/>
      <c r="V157">
        <f ca="1"/>
        <v>10</v>
      </c>
      <c r="W157">
        <f ca="1"/>
        <v>11</v>
      </c>
      <c r="X157">
        <f ca="1"/>
        <v>13747</v>
      </c>
      <c r="Y157">
        <f ca="1"/>
        <v>97</v>
      </c>
      <c r="Z157">
        <f ca="1"/>
        <v>1</v>
      </c>
      <c r="AA157">
        <f ca="1"/>
        <v>0</v>
      </c>
      <c r="AB157">
        <f ca="1"/>
        <v>10</v>
      </c>
      <c r="AC157">
        <f ca="1"/>
        <v>11</v>
      </c>
      <c r="AD157">
        <f ca="1"/>
        <v>13747</v>
      </c>
      <c r="AE157">
        <f ca="1"/>
        <v>97</v>
      </c>
      <c r="AF157">
        <f ca="1"/>
        <v>1</v>
      </c>
      <c r="AG157" t="str">
        <f ca="1"/>
        <v/>
      </c>
      <c r="AH157" t="str">
        <f ca="1"/>
        <v/>
      </c>
      <c r="AI157" t="str">
        <f ca="1"/>
        <v/>
      </c>
      <c r="AJ157" t="str">
        <f ca="1"/>
        <v/>
      </c>
      <c r="AK157" t="str">
        <f ca="1"/>
        <v/>
      </c>
      <c r="AL157" t="str">
        <f ca="1"/>
        <v/>
      </c>
      <c r="AM157" t="str">
        <f ca="1"/>
        <v/>
      </c>
      <c r="AN157" t="str">
        <f ca="1"/>
        <v/>
      </c>
    </row>
    <row r="158" spans="1:40" x14ac:dyDescent="0.25">
      <c r="A158" s="14">
        <f t="shared" si="7"/>
        <v>154</v>
      </c>
      <c r="B158" s="97">
        <v>19500</v>
      </c>
      <c r="C158" s="39">
        <f t="shared" si="8"/>
        <v>1</v>
      </c>
      <c r="D158" s="97">
        <v>12</v>
      </c>
      <c r="E158" s="97">
        <v>9</v>
      </c>
      <c r="F158" s="98">
        <v>13634</v>
      </c>
      <c r="G158" s="98">
        <v>110</v>
      </c>
      <c r="H158" s="98">
        <v>1</v>
      </c>
      <c r="I158" s="98">
        <v>0</v>
      </c>
      <c r="J158" s="13"/>
      <c r="K158" s="13"/>
      <c r="L158" s="13"/>
      <c r="M158" s="13"/>
      <c r="V158">
        <f ca="1"/>
        <v>12</v>
      </c>
      <c r="W158">
        <f ca="1"/>
        <v>9</v>
      </c>
      <c r="X158">
        <f ca="1"/>
        <v>13634</v>
      </c>
      <c r="Y158">
        <f ca="1"/>
        <v>110</v>
      </c>
      <c r="Z158">
        <f ca="1"/>
        <v>1</v>
      </c>
      <c r="AA158">
        <f ca="1"/>
        <v>0</v>
      </c>
      <c r="AB158">
        <f ca="1"/>
        <v>12</v>
      </c>
      <c r="AC158">
        <f ca="1"/>
        <v>9</v>
      </c>
      <c r="AD158">
        <f ca="1"/>
        <v>13634</v>
      </c>
      <c r="AE158">
        <f ca="1"/>
        <v>110</v>
      </c>
      <c r="AF158">
        <f ca="1"/>
        <v>1</v>
      </c>
      <c r="AG158" t="str">
        <f ca="1"/>
        <v/>
      </c>
      <c r="AH158" t="str">
        <f ca="1"/>
        <v/>
      </c>
      <c r="AI158" t="str">
        <f ca="1"/>
        <v/>
      </c>
      <c r="AJ158" t="str">
        <f ca="1"/>
        <v/>
      </c>
      <c r="AK158" t="str">
        <f ca="1"/>
        <v/>
      </c>
      <c r="AL158" t="str">
        <f ca="1"/>
        <v/>
      </c>
      <c r="AM158" t="str">
        <f ca="1"/>
        <v/>
      </c>
      <c r="AN158" t="str">
        <f ca="1"/>
        <v/>
      </c>
    </row>
    <row r="159" spans="1:40" x14ac:dyDescent="0.25">
      <c r="A159" s="14">
        <f t="shared" si="7"/>
        <v>155</v>
      </c>
      <c r="B159" s="97">
        <v>21750</v>
      </c>
      <c r="C159" s="39">
        <f t="shared" si="8"/>
        <v>1</v>
      </c>
      <c r="D159" s="97">
        <v>13</v>
      </c>
      <c r="E159" s="97">
        <v>8</v>
      </c>
      <c r="F159" s="98">
        <v>13178</v>
      </c>
      <c r="G159" s="98">
        <v>110</v>
      </c>
      <c r="H159" s="98">
        <v>1</v>
      </c>
      <c r="I159" s="98">
        <v>0</v>
      </c>
      <c r="J159" s="13"/>
      <c r="K159" s="13"/>
      <c r="L159" s="13"/>
      <c r="M159" s="13"/>
      <c r="V159">
        <f ca="1"/>
        <v>13</v>
      </c>
      <c r="W159">
        <f ca="1"/>
        <v>8</v>
      </c>
      <c r="X159">
        <f ca="1"/>
        <v>13178</v>
      </c>
      <c r="Y159">
        <f ca="1"/>
        <v>110</v>
      </c>
      <c r="Z159">
        <f ca="1"/>
        <v>1</v>
      </c>
      <c r="AA159">
        <f ca="1"/>
        <v>0</v>
      </c>
      <c r="AB159">
        <f ca="1"/>
        <v>13</v>
      </c>
      <c r="AC159">
        <f ca="1"/>
        <v>8</v>
      </c>
      <c r="AD159">
        <f ca="1"/>
        <v>13178</v>
      </c>
      <c r="AE159">
        <f ca="1"/>
        <v>110</v>
      </c>
      <c r="AF159">
        <f ca="1"/>
        <v>1</v>
      </c>
      <c r="AG159" t="str">
        <f ca="1"/>
        <v/>
      </c>
      <c r="AH159" t="str">
        <f ca="1"/>
        <v/>
      </c>
      <c r="AI159" t="str">
        <f ca="1"/>
        <v/>
      </c>
      <c r="AJ159" t="str">
        <f ca="1"/>
        <v/>
      </c>
      <c r="AK159" t="str">
        <f ca="1"/>
        <v/>
      </c>
      <c r="AL159" t="str">
        <f ca="1"/>
        <v/>
      </c>
      <c r="AM159" t="str">
        <f ca="1"/>
        <v/>
      </c>
      <c r="AN159" t="str">
        <f ca="1"/>
        <v/>
      </c>
    </row>
    <row r="160" spans="1:40" x14ac:dyDescent="0.25">
      <c r="A160" s="14">
        <f t="shared" si="7"/>
        <v>156</v>
      </c>
      <c r="B160" s="97">
        <v>16868</v>
      </c>
      <c r="C160" s="39">
        <f t="shared" si="8"/>
        <v>1</v>
      </c>
      <c r="D160" s="97">
        <v>15</v>
      </c>
      <c r="E160" s="97">
        <v>6</v>
      </c>
      <c r="F160" s="98">
        <v>13157</v>
      </c>
      <c r="G160" s="98">
        <v>97</v>
      </c>
      <c r="H160" s="98">
        <v>1</v>
      </c>
      <c r="I160" s="98">
        <v>0</v>
      </c>
      <c r="J160" s="13"/>
      <c r="K160" s="13"/>
      <c r="L160" s="13"/>
      <c r="M160" s="13"/>
      <c r="V160">
        <f ca="1"/>
        <v>15</v>
      </c>
      <c r="W160">
        <f ca="1"/>
        <v>6</v>
      </c>
      <c r="X160">
        <f ca="1"/>
        <v>13157</v>
      </c>
      <c r="Y160">
        <f ca="1"/>
        <v>97</v>
      </c>
      <c r="Z160">
        <f ca="1"/>
        <v>1</v>
      </c>
      <c r="AA160">
        <f ca="1"/>
        <v>0</v>
      </c>
      <c r="AB160">
        <f ca="1"/>
        <v>15</v>
      </c>
      <c r="AC160">
        <f ca="1"/>
        <v>6</v>
      </c>
      <c r="AD160">
        <f ca="1"/>
        <v>13157</v>
      </c>
      <c r="AE160">
        <f ca="1"/>
        <v>97</v>
      </c>
      <c r="AF160">
        <f ca="1"/>
        <v>1</v>
      </c>
      <c r="AG160" t="str">
        <f ca="1"/>
        <v/>
      </c>
      <c r="AH160" t="str">
        <f ca="1"/>
        <v/>
      </c>
      <c r="AI160" t="str">
        <f ca="1"/>
        <v/>
      </c>
      <c r="AJ160" t="str">
        <f ca="1"/>
        <v/>
      </c>
      <c r="AK160" t="str">
        <f ca="1"/>
        <v/>
      </c>
      <c r="AL160" t="str">
        <f ca="1"/>
        <v/>
      </c>
      <c r="AM160" t="str">
        <f ca="1"/>
        <v/>
      </c>
      <c r="AN160" t="str">
        <f ca="1"/>
        <v/>
      </c>
    </row>
    <row r="161" spans="1:40" x14ac:dyDescent="0.25">
      <c r="A161" s="14">
        <f t="shared" si="7"/>
        <v>157</v>
      </c>
      <c r="B161" s="97">
        <v>19500</v>
      </c>
      <c r="C161" s="39">
        <f t="shared" si="8"/>
        <v>1</v>
      </c>
      <c r="D161" s="97">
        <v>16</v>
      </c>
      <c r="E161" s="97">
        <v>5</v>
      </c>
      <c r="F161" s="98">
        <v>13000</v>
      </c>
      <c r="G161" s="98">
        <v>110</v>
      </c>
      <c r="H161" s="98">
        <v>1</v>
      </c>
      <c r="I161" s="98">
        <v>0</v>
      </c>
      <c r="J161" s="13"/>
      <c r="K161" s="13"/>
      <c r="L161" s="13"/>
      <c r="M161" s="13"/>
      <c r="V161">
        <f ca="1"/>
        <v>16</v>
      </c>
      <c r="W161">
        <f ca="1"/>
        <v>5</v>
      </c>
      <c r="X161">
        <f ca="1"/>
        <v>13000</v>
      </c>
      <c r="Y161">
        <f ca="1"/>
        <v>110</v>
      </c>
      <c r="Z161">
        <f ca="1"/>
        <v>1</v>
      </c>
      <c r="AA161">
        <f ca="1"/>
        <v>0</v>
      </c>
      <c r="AB161">
        <f ca="1"/>
        <v>16</v>
      </c>
      <c r="AC161">
        <f ca="1"/>
        <v>5</v>
      </c>
      <c r="AD161">
        <f ca="1"/>
        <v>13000</v>
      </c>
      <c r="AE161">
        <f ca="1"/>
        <v>110</v>
      </c>
      <c r="AF161">
        <f ca="1"/>
        <v>1</v>
      </c>
      <c r="AG161" t="str">
        <f ca="1"/>
        <v/>
      </c>
      <c r="AH161" t="str">
        <f ca="1"/>
        <v/>
      </c>
      <c r="AI161" t="str">
        <f ca="1"/>
        <v/>
      </c>
      <c r="AJ161" t="str">
        <f ca="1"/>
        <v/>
      </c>
      <c r="AK161" t="str">
        <f ca="1"/>
        <v/>
      </c>
      <c r="AL161" t="str">
        <f ca="1"/>
        <v/>
      </c>
      <c r="AM161" t="str">
        <f ca="1"/>
        <v/>
      </c>
      <c r="AN161" t="str">
        <f ca="1"/>
        <v/>
      </c>
    </row>
    <row r="162" spans="1:40" x14ac:dyDescent="0.25">
      <c r="A162" s="14">
        <f t="shared" si="7"/>
        <v>158</v>
      </c>
      <c r="B162" s="97">
        <v>18900</v>
      </c>
      <c r="C162" s="39">
        <f t="shared" si="8"/>
        <v>1</v>
      </c>
      <c r="D162" s="97">
        <v>11</v>
      </c>
      <c r="E162" s="97">
        <v>10</v>
      </c>
      <c r="F162" s="98">
        <v>12500</v>
      </c>
      <c r="G162" s="98">
        <v>110</v>
      </c>
      <c r="H162" s="98">
        <v>1</v>
      </c>
      <c r="I162" s="98">
        <v>0</v>
      </c>
      <c r="J162" s="13"/>
      <c r="K162" s="13"/>
      <c r="L162" s="13"/>
      <c r="M162" s="13"/>
      <c r="V162">
        <f ca="1"/>
        <v>11</v>
      </c>
      <c r="W162">
        <f ca="1"/>
        <v>10</v>
      </c>
      <c r="X162">
        <f ca="1"/>
        <v>12500</v>
      </c>
      <c r="Y162">
        <f ca="1"/>
        <v>110</v>
      </c>
      <c r="Z162">
        <f ca="1"/>
        <v>1</v>
      </c>
      <c r="AA162">
        <f ca="1"/>
        <v>0</v>
      </c>
      <c r="AB162">
        <f ca="1"/>
        <v>11</v>
      </c>
      <c r="AC162">
        <f ca="1"/>
        <v>10</v>
      </c>
      <c r="AD162">
        <f ca="1"/>
        <v>12500</v>
      </c>
      <c r="AE162">
        <f ca="1"/>
        <v>110</v>
      </c>
      <c r="AF162">
        <f ca="1"/>
        <v>1</v>
      </c>
      <c r="AG162" t="str">
        <f ca="1"/>
        <v/>
      </c>
      <c r="AH162" t="str">
        <f ca="1"/>
        <v/>
      </c>
      <c r="AI162" t="str">
        <f ca="1"/>
        <v/>
      </c>
      <c r="AJ162" t="str">
        <f ca="1"/>
        <v/>
      </c>
      <c r="AK162" t="str">
        <f ca="1"/>
        <v/>
      </c>
      <c r="AL162" t="str">
        <f ca="1"/>
        <v/>
      </c>
      <c r="AM162" t="str">
        <f ca="1"/>
        <v/>
      </c>
      <c r="AN162" t="str">
        <f ca="1"/>
        <v/>
      </c>
    </row>
    <row r="163" spans="1:40" x14ac:dyDescent="0.25">
      <c r="A163" s="14">
        <f t="shared" si="7"/>
        <v>159</v>
      </c>
      <c r="B163" s="97">
        <v>19750</v>
      </c>
      <c r="C163" s="39">
        <f t="shared" si="8"/>
        <v>1</v>
      </c>
      <c r="D163" s="97">
        <v>17</v>
      </c>
      <c r="E163" s="97">
        <v>4</v>
      </c>
      <c r="F163" s="98">
        <v>11999</v>
      </c>
      <c r="G163" s="98">
        <v>110</v>
      </c>
      <c r="H163" s="98">
        <v>1</v>
      </c>
      <c r="I163" s="98">
        <v>0</v>
      </c>
      <c r="J163" s="13"/>
      <c r="K163" s="13"/>
      <c r="L163" s="13"/>
      <c r="M163" s="13"/>
      <c r="V163">
        <f ca="1"/>
        <v>17</v>
      </c>
      <c r="W163">
        <f ca="1"/>
        <v>4</v>
      </c>
      <c r="X163">
        <f ca="1"/>
        <v>11999</v>
      </c>
      <c r="Y163">
        <f ca="1"/>
        <v>110</v>
      </c>
      <c r="Z163">
        <f ca="1"/>
        <v>1</v>
      </c>
      <c r="AA163">
        <f ca="1"/>
        <v>0</v>
      </c>
      <c r="AB163">
        <f ca="1"/>
        <v>17</v>
      </c>
      <c r="AC163">
        <f ca="1"/>
        <v>4</v>
      </c>
      <c r="AD163">
        <f ca="1"/>
        <v>11999</v>
      </c>
      <c r="AE163">
        <f ca="1"/>
        <v>110</v>
      </c>
      <c r="AF163">
        <f ca="1"/>
        <v>1</v>
      </c>
      <c r="AG163" t="str">
        <f ca="1"/>
        <v/>
      </c>
      <c r="AH163" t="str">
        <f ca="1"/>
        <v/>
      </c>
      <c r="AI163" t="str">
        <f ca="1"/>
        <v/>
      </c>
      <c r="AJ163" t="str">
        <f ca="1"/>
        <v/>
      </c>
      <c r="AK163" t="str">
        <f ca="1"/>
        <v/>
      </c>
      <c r="AL163" t="str">
        <f ca="1"/>
        <v/>
      </c>
      <c r="AM163" t="str">
        <f ca="1"/>
        <v/>
      </c>
      <c r="AN163" t="str">
        <f ca="1"/>
        <v/>
      </c>
    </row>
    <row r="164" spans="1:40" x14ac:dyDescent="0.25">
      <c r="A164" s="14">
        <f t="shared" si="7"/>
        <v>160</v>
      </c>
      <c r="B164" s="97">
        <v>19750</v>
      </c>
      <c r="C164" s="39">
        <f t="shared" si="8"/>
        <v>1</v>
      </c>
      <c r="D164" s="97">
        <v>16</v>
      </c>
      <c r="E164" s="97">
        <v>5</v>
      </c>
      <c r="F164" s="98">
        <v>11754</v>
      </c>
      <c r="G164" s="98">
        <v>110</v>
      </c>
      <c r="H164" s="98">
        <v>0</v>
      </c>
      <c r="I164" s="98">
        <v>1</v>
      </c>
      <c r="J164" s="13"/>
      <c r="K164" s="13"/>
      <c r="L164" s="13"/>
      <c r="M164" s="13"/>
      <c r="V164">
        <f ca="1"/>
        <v>16</v>
      </c>
      <c r="W164">
        <f ca="1"/>
        <v>5</v>
      </c>
      <c r="X164">
        <f ca="1"/>
        <v>11754</v>
      </c>
      <c r="Y164">
        <f ca="1"/>
        <v>110</v>
      </c>
      <c r="Z164">
        <f ca="1"/>
        <v>0</v>
      </c>
      <c r="AA164">
        <f ca="1"/>
        <v>1</v>
      </c>
      <c r="AB164">
        <f ca="1"/>
        <v>16</v>
      </c>
      <c r="AC164">
        <f ca="1"/>
        <v>5</v>
      </c>
      <c r="AD164">
        <f ca="1"/>
        <v>11754</v>
      </c>
      <c r="AE164">
        <f ca="1"/>
        <v>110</v>
      </c>
      <c r="AF164">
        <f ca="1"/>
        <v>0</v>
      </c>
      <c r="AG164" t="str">
        <f ca="1"/>
        <v/>
      </c>
      <c r="AH164" t="str">
        <f ca="1"/>
        <v/>
      </c>
      <c r="AI164" t="str">
        <f ca="1"/>
        <v/>
      </c>
      <c r="AJ164" t="str">
        <f ca="1"/>
        <v/>
      </c>
      <c r="AK164" t="str">
        <f ca="1"/>
        <v/>
      </c>
      <c r="AL164" t="str">
        <f ca="1"/>
        <v/>
      </c>
      <c r="AM164" t="str">
        <f ca="1"/>
        <v/>
      </c>
      <c r="AN164" t="str">
        <f ca="1"/>
        <v/>
      </c>
    </row>
    <row r="165" spans="1:40" x14ac:dyDescent="0.25">
      <c r="A165" s="14">
        <f t="shared" si="7"/>
        <v>161</v>
      </c>
      <c r="B165" s="97">
        <v>18950</v>
      </c>
      <c r="C165" s="39">
        <f t="shared" si="8"/>
        <v>1</v>
      </c>
      <c r="D165" s="97">
        <v>16</v>
      </c>
      <c r="E165" s="97">
        <v>5</v>
      </c>
      <c r="F165" s="98">
        <v>11000</v>
      </c>
      <c r="G165" s="98">
        <v>110</v>
      </c>
      <c r="H165" s="98">
        <v>1</v>
      </c>
      <c r="I165" s="98">
        <v>0</v>
      </c>
      <c r="J165" s="13"/>
      <c r="K165" s="13"/>
      <c r="L165" s="13"/>
      <c r="M165" s="13"/>
      <c r="V165">
        <f ca="1"/>
        <v>16</v>
      </c>
      <c r="W165">
        <f ca="1"/>
        <v>5</v>
      </c>
      <c r="X165">
        <f ca="1"/>
        <v>11000</v>
      </c>
      <c r="Y165">
        <f ca="1"/>
        <v>110</v>
      </c>
      <c r="Z165">
        <f ca="1"/>
        <v>1</v>
      </c>
      <c r="AA165">
        <f ca="1"/>
        <v>0</v>
      </c>
      <c r="AB165">
        <f ca="1"/>
        <v>16</v>
      </c>
      <c r="AC165">
        <f ca="1"/>
        <v>5</v>
      </c>
      <c r="AD165">
        <f ca="1"/>
        <v>11000</v>
      </c>
      <c r="AE165">
        <f ca="1"/>
        <v>110</v>
      </c>
      <c r="AF165">
        <f ca="1"/>
        <v>1</v>
      </c>
      <c r="AG165" t="str">
        <f ca="1"/>
        <v/>
      </c>
      <c r="AH165" t="str">
        <f ca="1"/>
        <v/>
      </c>
      <c r="AI165" t="str">
        <f ca="1"/>
        <v/>
      </c>
      <c r="AJ165" t="str">
        <f ca="1"/>
        <v/>
      </c>
      <c r="AK165" t="str">
        <f ca="1"/>
        <v/>
      </c>
      <c r="AL165" t="str">
        <f ca="1"/>
        <v/>
      </c>
      <c r="AM165" t="str">
        <f ca="1"/>
        <v/>
      </c>
      <c r="AN165" t="str">
        <f ca="1"/>
        <v/>
      </c>
    </row>
    <row r="166" spans="1:40" x14ac:dyDescent="0.25">
      <c r="A166" s="14">
        <f t="shared" si="7"/>
        <v>162</v>
      </c>
      <c r="B166" s="97">
        <v>20750</v>
      </c>
      <c r="C166" s="39">
        <f t="shared" si="8"/>
        <v>1</v>
      </c>
      <c r="D166" s="97">
        <v>17</v>
      </c>
      <c r="E166" s="97">
        <v>4</v>
      </c>
      <c r="F166" s="98">
        <v>10000</v>
      </c>
      <c r="G166" s="98">
        <v>110</v>
      </c>
      <c r="H166" s="98">
        <v>0</v>
      </c>
      <c r="I166" s="98">
        <v>0</v>
      </c>
      <c r="J166" s="13"/>
      <c r="K166" s="13"/>
      <c r="L166" s="13"/>
      <c r="M166" s="13"/>
      <c r="V166">
        <f ca="1"/>
        <v>17</v>
      </c>
      <c r="W166">
        <f ca="1"/>
        <v>4</v>
      </c>
      <c r="X166">
        <f ca="1"/>
        <v>10000</v>
      </c>
      <c r="Y166">
        <f ca="1"/>
        <v>110</v>
      </c>
      <c r="Z166">
        <f ca="1"/>
        <v>0</v>
      </c>
      <c r="AA166">
        <f ca="1"/>
        <v>0</v>
      </c>
      <c r="AB166">
        <f ca="1"/>
        <v>17</v>
      </c>
      <c r="AC166">
        <f ca="1"/>
        <v>4</v>
      </c>
      <c r="AD166">
        <f ca="1"/>
        <v>10000</v>
      </c>
      <c r="AE166">
        <f ca="1"/>
        <v>110</v>
      </c>
      <c r="AF166">
        <f ca="1"/>
        <v>0</v>
      </c>
      <c r="AG166" t="str">
        <f ca="1"/>
        <v/>
      </c>
      <c r="AH166" t="str">
        <f ca="1"/>
        <v/>
      </c>
      <c r="AI166" t="str">
        <f ca="1"/>
        <v/>
      </c>
      <c r="AJ166" t="str">
        <f ca="1"/>
        <v/>
      </c>
      <c r="AK166" t="str">
        <f ca="1"/>
        <v/>
      </c>
      <c r="AL166" t="str">
        <f ca="1"/>
        <v/>
      </c>
      <c r="AM166" t="str">
        <f ca="1"/>
        <v/>
      </c>
      <c r="AN166" t="str">
        <f ca="1"/>
        <v/>
      </c>
    </row>
    <row r="167" spans="1:40" x14ac:dyDescent="0.25">
      <c r="A167" s="14">
        <f t="shared" si="7"/>
        <v>163</v>
      </c>
      <c r="B167" s="97">
        <v>19600</v>
      </c>
      <c r="C167" s="39">
        <f t="shared" si="8"/>
        <v>1</v>
      </c>
      <c r="D167" s="97">
        <v>9</v>
      </c>
      <c r="E167" s="97">
        <v>12</v>
      </c>
      <c r="F167" s="98">
        <v>7650</v>
      </c>
      <c r="G167" s="98">
        <v>110</v>
      </c>
      <c r="H167" s="98">
        <v>1</v>
      </c>
      <c r="I167" s="98">
        <v>0</v>
      </c>
      <c r="J167" s="13"/>
      <c r="K167" s="13"/>
      <c r="L167" s="13"/>
      <c r="M167" s="13"/>
      <c r="V167">
        <f ca="1"/>
        <v>9</v>
      </c>
      <c r="W167">
        <f ca="1"/>
        <v>12</v>
      </c>
      <c r="X167">
        <f ca="1"/>
        <v>7650</v>
      </c>
      <c r="Y167">
        <f ca="1"/>
        <v>110</v>
      </c>
      <c r="Z167">
        <f ca="1"/>
        <v>1</v>
      </c>
      <c r="AA167">
        <f ca="1"/>
        <v>0</v>
      </c>
      <c r="AB167">
        <f ca="1"/>
        <v>9</v>
      </c>
      <c r="AC167">
        <f ca="1"/>
        <v>12</v>
      </c>
      <c r="AD167">
        <f ca="1"/>
        <v>7650</v>
      </c>
      <c r="AE167">
        <f ca="1"/>
        <v>110</v>
      </c>
      <c r="AF167">
        <f ca="1"/>
        <v>1</v>
      </c>
      <c r="AG167" t="str">
        <f ca="1"/>
        <v/>
      </c>
      <c r="AH167" t="str">
        <f ca="1"/>
        <v/>
      </c>
      <c r="AI167" t="str">
        <f ca="1"/>
        <v/>
      </c>
      <c r="AJ167" t="str">
        <f ca="1"/>
        <v/>
      </c>
      <c r="AK167" t="str">
        <f ca="1"/>
        <v/>
      </c>
      <c r="AL167" t="str">
        <f ca="1"/>
        <v/>
      </c>
      <c r="AM167" t="str">
        <f ca="1"/>
        <v/>
      </c>
      <c r="AN167" t="str">
        <f ca="1"/>
        <v/>
      </c>
    </row>
    <row r="168" spans="1:40" x14ac:dyDescent="0.25">
      <c r="A168" s="14">
        <f t="shared" si="7"/>
        <v>164</v>
      </c>
      <c r="B168" s="97">
        <v>19500</v>
      </c>
      <c r="C168" s="39">
        <f t="shared" si="8"/>
        <v>1</v>
      </c>
      <c r="D168" s="97">
        <v>14</v>
      </c>
      <c r="E168" s="97">
        <v>7</v>
      </c>
      <c r="F168" s="98">
        <v>6500</v>
      </c>
      <c r="G168" s="98">
        <v>110</v>
      </c>
      <c r="H168" s="98">
        <v>1</v>
      </c>
      <c r="I168" s="98">
        <v>0</v>
      </c>
      <c r="J168" s="13"/>
      <c r="K168" s="13"/>
      <c r="L168" s="13"/>
      <c r="M168" s="13"/>
      <c r="V168">
        <f ca="1"/>
        <v>14</v>
      </c>
      <c r="W168">
        <f ca="1"/>
        <v>7</v>
      </c>
      <c r="X168">
        <f ca="1"/>
        <v>6500</v>
      </c>
      <c r="Y168">
        <f ca="1"/>
        <v>110</v>
      </c>
      <c r="Z168">
        <f ca="1"/>
        <v>1</v>
      </c>
      <c r="AA168">
        <f ca="1"/>
        <v>0</v>
      </c>
      <c r="AB168">
        <f ca="1"/>
        <v>14</v>
      </c>
      <c r="AC168">
        <f ca="1"/>
        <v>7</v>
      </c>
      <c r="AD168">
        <f ca="1"/>
        <v>6500</v>
      </c>
      <c r="AE168">
        <f ca="1"/>
        <v>110</v>
      </c>
      <c r="AF168">
        <f ca="1"/>
        <v>1</v>
      </c>
      <c r="AG168" t="str">
        <f ca="1"/>
        <v/>
      </c>
      <c r="AH168" t="str">
        <f ca="1"/>
        <v/>
      </c>
      <c r="AI168" t="str">
        <f ca="1"/>
        <v/>
      </c>
      <c r="AJ168" t="str">
        <f ca="1"/>
        <v/>
      </c>
      <c r="AK168" t="str">
        <f ca="1"/>
        <v/>
      </c>
      <c r="AL168" t="str">
        <f ca="1"/>
        <v/>
      </c>
      <c r="AM168" t="str">
        <f ca="1"/>
        <v/>
      </c>
      <c r="AN168" t="str">
        <f ca="1"/>
        <v/>
      </c>
    </row>
    <row r="169" spans="1:40" x14ac:dyDescent="0.25">
      <c r="A169" s="14">
        <f t="shared" ref="A169:A204" si="9">IF(B169&lt;&gt;"",1+A168,"")</f>
        <v>165</v>
      </c>
      <c r="B169" s="97">
        <v>17650</v>
      </c>
      <c r="C169" s="39">
        <f t="shared" si="8"/>
        <v>1</v>
      </c>
      <c r="D169" s="97">
        <v>11</v>
      </c>
      <c r="E169" s="97">
        <v>10</v>
      </c>
      <c r="F169" s="98">
        <v>6155</v>
      </c>
      <c r="G169" s="98">
        <v>97</v>
      </c>
      <c r="H169" s="98">
        <v>1</v>
      </c>
      <c r="I169" s="98">
        <v>0</v>
      </c>
      <c r="J169" s="13"/>
      <c r="K169" s="13"/>
      <c r="L169" s="13"/>
      <c r="M169" s="13"/>
      <c r="V169">
        <f ca="1"/>
        <v>11</v>
      </c>
      <c r="W169">
        <f ca="1"/>
        <v>10</v>
      </c>
      <c r="X169">
        <f ca="1"/>
        <v>6155</v>
      </c>
      <c r="Y169">
        <f ca="1"/>
        <v>97</v>
      </c>
      <c r="Z169">
        <f ca="1"/>
        <v>1</v>
      </c>
      <c r="AA169">
        <f ca="1"/>
        <v>0</v>
      </c>
      <c r="AB169">
        <f ca="1"/>
        <v>11</v>
      </c>
      <c r="AC169">
        <f ca="1"/>
        <v>10</v>
      </c>
      <c r="AD169">
        <f ca="1"/>
        <v>6155</v>
      </c>
      <c r="AE169">
        <f ca="1"/>
        <v>97</v>
      </c>
      <c r="AF169">
        <f ca="1"/>
        <v>1</v>
      </c>
      <c r="AG169" t="str">
        <f ca="1"/>
        <v/>
      </c>
      <c r="AH169" t="str">
        <f ca="1"/>
        <v/>
      </c>
      <c r="AI169" t="str">
        <f ca="1"/>
        <v/>
      </c>
      <c r="AJ169" t="str">
        <f ca="1"/>
        <v/>
      </c>
      <c r="AK169" t="str">
        <f ca="1"/>
        <v/>
      </c>
      <c r="AL169" t="str">
        <f ca="1"/>
        <v/>
      </c>
      <c r="AM169" t="str">
        <f ca="1"/>
        <v/>
      </c>
      <c r="AN169" t="str">
        <f ca="1"/>
        <v/>
      </c>
    </row>
    <row r="170" spans="1:40" x14ac:dyDescent="0.25">
      <c r="A170" s="14">
        <f t="shared" si="9"/>
        <v>166</v>
      </c>
      <c r="B170" s="97">
        <v>19950</v>
      </c>
      <c r="C170" s="39">
        <f t="shared" si="8"/>
        <v>1</v>
      </c>
      <c r="D170" s="97">
        <v>14</v>
      </c>
      <c r="E170" s="97">
        <v>7</v>
      </c>
      <c r="F170" s="98">
        <v>6000</v>
      </c>
      <c r="G170" s="98">
        <v>110</v>
      </c>
      <c r="H170" s="98">
        <v>0</v>
      </c>
      <c r="I170" s="98">
        <v>0</v>
      </c>
      <c r="J170" s="13"/>
      <c r="K170" s="13"/>
      <c r="L170" s="13"/>
      <c r="M170" s="13"/>
      <c r="V170">
        <f ca="1"/>
        <v>14</v>
      </c>
      <c r="W170">
        <f ca="1"/>
        <v>7</v>
      </c>
      <c r="X170">
        <f ca="1"/>
        <v>6000</v>
      </c>
      <c r="Y170">
        <f ca="1"/>
        <v>110</v>
      </c>
      <c r="Z170">
        <f ca="1"/>
        <v>0</v>
      </c>
      <c r="AA170">
        <f ca="1"/>
        <v>0</v>
      </c>
      <c r="AB170">
        <f ca="1"/>
        <v>14</v>
      </c>
      <c r="AC170">
        <f ca="1"/>
        <v>7</v>
      </c>
      <c r="AD170">
        <f ca="1"/>
        <v>6000</v>
      </c>
      <c r="AE170">
        <f ca="1"/>
        <v>110</v>
      </c>
      <c r="AF170">
        <f ca="1"/>
        <v>0</v>
      </c>
      <c r="AG170" t="str">
        <f ca="1"/>
        <v/>
      </c>
      <c r="AH170" t="str">
        <f ca="1"/>
        <v/>
      </c>
      <c r="AI170" t="str">
        <f ca="1"/>
        <v/>
      </c>
      <c r="AJ170" t="str">
        <f ca="1"/>
        <v/>
      </c>
      <c r="AK170" t="str">
        <f ca="1"/>
        <v/>
      </c>
      <c r="AL170" t="str">
        <f ca="1"/>
        <v/>
      </c>
      <c r="AM170" t="str">
        <f ca="1"/>
        <v/>
      </c>
      <c r="AN170" t="str">
        <f ca="1"/>
        <v/>
      </c>
    </row>
    <row r="171" spans="1:40" x14ac:dyDescent="0.25">
      <c r="A171" s="14">
        <f t="shared" si="9"/>
        <v>167</v>
      </c>
      <c r="B171" s="97">
        <v>19950</v>
      </c>
      <c r="C171" s="39">
        <f t="shared" si="8"/>
        <v>1</v>
      </c>
      <c r="D171" s="97">
        <v>14</v>
      </c>
      <c r="E171" s="97">
        <v>7</v>
      </c>
      <c r="F171" s="98">
        <v>5459</v>
      </c>
      <c r="G171" s="98">
        <v>110</v>
      </c>
      <c r="H171" s="98">
        <v>1</v>
      </c>
      <c r="I171" s="98">
        <v>0</v>
      </c>
      <c r="J171" s="13"/>
      <c r="K171" s="13"/>
      <c r="L171" s="13"/>
      <c r="M171" s="13"/>
      <c r="V171">
        <f ca="1"/>
        <v>14</v>
      </c>
      <c r="W171">
        <f ca="1"/>
        <v>7</v>
      </c>
      <c r="X171">
        <f ca="1"/>
        <v>5459</v>
      </c>
      <c r="Y171">
        <f ca="1"/>
        <v>110</v>
      </c>
      <c r="Z171">
        <f ca="1"/>
        <v>1</v>
      </c>
      <c r="AA171">
        <f ca="1"/>
        <v>0</v>
      </c>
      <c r="AB171">
        <f ca="1"/>
        <v>14</v>
      </c>
      <c r="AC171">
        <f ca="1"/>
        <v>7</v>
      </c>
      <c r="AD171">
        <f ca="1"/>
        <v>5459</v>
      </c>
      <c r="AE171">
        <f ca="1"/>
        <v>110</v>
      </c>
      <c r="AF171">
        <f ca="1"/>
        <v>1</v>
      </c>
      <c r="AG171" t="str">
        <f ca="1"/>
        <v/>
      </c>
      <c r="AH171" t="str">
        <f ca="1"/>
        <v/>
      </c>
      <c r="AI171" t="str">
        <f ca="1"/>
        <v/>
      </c>
      <c r="AJ171" t="str">
        <f ca="1"/>
        <v/>
      </c>
      <c r="AK171" t="str">
        <f ca="1"/>
        <v/>
      </c>
      <c r="AL171" t="str">
        <f ca="1"/>
        <v/>
      </c>
      <c r="AM171" t="str">
        <f ca="1"/>
        <v/>
      </c>
      <c r="AN171" t="str">
        <f ca="1"/>
        <v/>
      </c>
    </row>
    <row r="172" spans="1:40" x14ac:dyDescent="0.25">
      <c r="A172" s="14">
        <f t="shared" si="9"/>
        <v>168</v>
      </c>
      <c r="B172" s="97">
        <v>20950</v>
      </c>
      <c r="C172" s="39">
        <f t="shared" si="8"/>
        <v>1</v>
      </c>
      <c r="D172" s="97">
        <v>14</v>
      </c>
      <c r="E172" s="97">
        <v>7</v>
      </c>
      <c r="F172" s="98">
        <v>5278</v>
      </c>
      <c r="G172" s="98">
        <v>110</v>
      </c>
      <c r="H172" s="98">
        <v>1</v>
      </c>
      <c r="I172" s="98">
        <v>1</v>
      </c>
      <c r="J172" s="13"/>
      <c r="K172" s="13"/>
      <c r="L172" s="13"/>
      <c r="M172" s="13"/>
      <c r="V172">
        <f ca="1"/>
        <v>14</v>
      </c>
      <c r="W172">
        <f ca="1"/>
        <v>7</v>
      </c>
      <c r="X172">
        <f ca="1"/>
        <v>5278</v>
      </c>
      <c r="Y172">
        <f ca="1"/>
        <v>110</v>
      </c>
      <c r="Z172">
        <f ca="1"/>
        <v>1</v>
      </c>
      <c r="AA172">
        <f ca="1"/>
        <v>1</v>
      </c>
      <c r="AB172">
        <f ca="1"/>
        <v>14</v>
      </c>
      <c r="AC172">
        <f ca="1"/>
        <v>7</v>
      </c>
      <c r="AD172">
        <f ca="1"/>
        <v>5278</v>
      </c>
      <c r="AE172">
        <f ca="1"/>
        <v>110</v>
      </c>
      <c r="AF172">
        <f ca="1"/>
        <v>1</v>
      </c>
      <c r="AG172" t="str">
        <f ca="1"/>
        <v/>
      </c>
      <c r="AH172" t="str">
        <f ca="1"/>
        <v/>
      </c>
      <c r="AI172" t="str">
        <f ca="1"/>
        <v/>
      </c>
      <c r="AJ172" t="str">
        <f ca="1"/>
        <v/>
      </c>
      <c r="AK172" t="str">
        <f ca="1"/>
        <v/>
      </c>
      <c r="AL172" t="str">
        <f ca="1"/>
        <v/>
      </c>
      <c r="AM172" t="str">
        <f ca="1"/>
        <v/>
      </c>
      <c r="AN172" t="str">
        <f ca="1"/>
        <v/>
      </c>
    </row>
    <row r="173" spans="1:40" x14ac:dyDescent="0.25">
      <c r="A173" s="14">
        <f t="shared" si="9"/>
        <v>169</v>
      </c>
      <c r="B173" s="97">
        <v>20500</v>
      </c>
      <c r="C173" s="39">
        <f t="shared" si="8"/>
        <v>1</v>
      </c>
      <c r="D173" s="97">
        <v>12</v>
      </c>
      <c r="E173" s="97">
        <v>9</v>
      </c>
      <c r="F173" s="98">
        <v>5000</v>
      </c>
      <c r="G173" s="98">
        <v>110</v>
      </c>
      <c r="H173" s="98">
        <v>1</v>
      </c>
      <c r="I173" s="98">
        <v>0</v>
      </c>
      <c r="J173" s="13"/>
      <c r="K173" s="13"/>
      <c r="L173" s="13"/>
      <c r="M173" s="13"/>
      <c r="V173">
        <f ca="1"/>
        <v>12</v>
      </c>
      <c r="W173">
        <f ca="1"/>
        <v>9</v>
      </c>
      <c r="X173">
        <f ca="1"/>
        <v>5000</v>
      </c>
      <c r="Y173">
        <f ca="1"/>
        <v>110</v>
      </c>
      <c r="Z173">
        <f ca="1"/>
        <v>1</v>
      </c>
      <c r="AA173">
        <f ca="1"/>
        <v>0</v>
      </c>
      <c r="AB173">
        <f ca="1"/>
        <v>12</v>
      </c>
      <c r="AC173">
        <f ca="1"/>
        <v>9</v>
      </c>
      <c r="AD173">
        <f ca="1"/>
        <v>5000</v>
      </c>
      <c r="AE173">
        <f ca="1"/>
        <v>110</v>
      </c>
      <c r="AF173">
        <f ca="1"/>
        <v>1</v>
      </c>
      <c r="AG173" t="str">
        <f ca="1"/>
        <v/>
      </c>
      <c r="AH173" t="str">
        <f ca="1"/>
        <v/>
      </c>
      <c r="AI173" t="str">
        <f ca="1"/>
        <v/>
      </c>
      <c r="AJ173" t="str">
        <f ca="1"/>
        <v/>
      </c>
      <c r="AK173" t="str">
        <f ca="1"/>
        <v/>
      </c>
      <c r="AL173" t="str">
        <f ca="1"/>
        <v/>
      </c>
      <c r="AM173" t="str">
        <f ca="1"/>
        <v/>
      </c>
      <c r="AN173" t="str">
        <f ca="1"/>
        <v/>
      </c>
    </row>
    <row r="174" spans="1:40" x14ac:dyDescent="0.25">
      <c r="A174" s="14">
        <f t="shared" si="9"/>
        <v>170</v>
      </c>
      <c r="B174" s="97">
        <v>17795</v>
      </c>
      <c r="C174" s="39">
        <f t="shared" si="8"/>
        <v>1</v>
      </c>
      <c r="D174" s="97">
        <v>9</v>
      </c>
      <c r="E174" s="97">
        <v>12</v>
      </c>
      <c r="F174" s="98">
        <v>1</v>
      </c>
      <c r="G174" s="98">
        <v>98</v>
      </c>
      <c r="H174" s="98">
        <v>1</v>
      </c>
      <c r="I174" s="98">
        <v>0</v>
      </c>
      <c r="J174" s="13"/>
      <c r="K174" s="13"/>
      <c r="L174" s="13"/>
      <c r="M174" s="13"/>
      <c r="V174">
        <f ca="1"/>
        <v>9</v>
      </c>
      <c r="W174">
        <f ca="1"/>
        <v>12</v>
      </c>
      <c r="X174">
        <f ca="1"/>
        <v>1</v>
      </c>
      <c r="Y174">
        <f ca="1"/>
        <v>98</v>
      </c>
      <c r="Z174">
        <f ca="1"/>
        <v>1</v>
      </c>
      <c r="AA174">
        <f ca="1"/>
        <v>0</v>
      </c>
      <c r="AB174">
        <f ca="1"/>
        <v>9</v>
      </c>
      <c r="AC174">
        <f ca="1"/>
        <v>12</v>
      </c>
      <c r="AD174">
        <f ca="1"/>
        <v>1</v>
      </c>
      <c r="AE174">
        <f ca="1"/>
        <v>98</v>
      </c>
      <c r="AF174">
        <f ca="1"/>
        <v>1</v>
      </c>
      <c r="AG174" t="str">
        <f ca="1"/>
        <v/>
      </c>
      <c r="AH174" t="str">
        <f ca="1"/>
        <v/>
      </c>
      <c r="AI174" t="str">
        <f ca="1"/>
        <v/>
      </c>
      <c r="AJ174" t="str">
        <f ca="1"/>
        <v/>
      </c>
      <c r="AK174" t="str">
        <f ca="1"/>
        <v/>
      </c>
      <c r="AL174" t="str">
        <f ca="1"/>
        <v/>
      </c>
      <c r="AM174" t="str">
        <f ca="1"/>
        <v/>
      </c>
      <c r="AN174" t="str">
        <f ca="1"/>
        <v/>
      </c>
    </row>
    <row r="175" spans="1:40" x14ac:dyDescent="0.25">
      <c r="A175" s="14">
        <f t="shared" si="9"/>
        <v>171</v>
      </c>
      <c r="B175" s="97">
        <v>18245</v>
      </c>
      <c r="C175" s="39">
        <f t="shared" si="8"/>
        <v>1</v>
      </c>
      <c r="D175" s="97">
        <v>9</v>
      </c>
      <c r="E175" s="97">
        <v>12</v>
      </c>
      <c r="F175" s="98">
        <v>1</v>
      </c>
      <c r="G175" s="98">
        <v>110</v>
      </c>
      <c r="H175" s="98">
        <v>1</v>
      </c>
      <c r="I175" s="98">
        <v>0</v>
      </c>
      <c r="J175" s="13"/>
      <c r="K175" s="13"/>
      <c r="L175" s="13"/>
      <c r="M175" s="13"/>
      <c r="V175">
        <f ca="1"/>
        <v>9</v>
      </c>
      <c r="W175">
        <f ca="1"/>
        <v>12</v>
      </c>
      <c r="X175">
        <f ca="1"/>
        <v>1</v>
      </c>
      <c r="Y175">
        <f ca="1"/>
        <v>110</v>
      </c>
      <c r="Z175">
        <f ca="1"/>
        <v>1</v>
      </c>
      <c r="AA175">
        <f ca="1"/>
        <v>0</v>
      </c>
      <c r="AB175">
        <f ca="1"/>
        <v>9</v>
      </c>
      <c r="AC175">
        <f ca="1"/>
        <v>12</v>
      </c>
      <c r="AD175">
        <f ca="1"/>
        <v>1</v>
      </c>
      <c r="AE175">
        <f ca="1"/>
        <v>110</v>
      </c>
      <c r="AF175">
        <f ca="1"/>
        <v>1</v>
      </c>
      <c r="AG175" t="str">
        <f ca="1"/>
        <v/>
      </c>
      <c r="AH175" t="str">
        <f ca="1"/>
        <v/>
      </c>
      <c r="AI175" t="str">
        <f ca="1"/>
        <v/>
      </c>
      <c r="AJ175" t="str">
        <f ca="1"/>
        <v/>
      </c>
      <c r="AK175" t="str">
        <f ca="1"/>
        <v/>
      </c>
      <c r="AL175" t="str">
        <f ca="1"/>
        <v/>
      </c>
      <c r="AM175" t="str">
        <f ca="1"/>
        <v/>
      </c>
      <c r="AN175" t="str">
        <f ca="1"/>
        <v/>
      </c>
    </row>
    <row r="176" spans="1:40" x14ac:dyDescent="0.25">
      <c r="A176" s="14">
        <f t="shared" si="9"/>
        <v>172</v>
      </c>
      <c r="B176" s="97">
        <v>23750</v>
      </c>
      <c r="C176" s="39">
        <f t="shared" si="8"/>
        <v>1</v>
      </c>
      <c r="D176" s="97">
        <v>8</v>
      </c>
      <c r="E176" s="97">
        <v>1</v>
      </c>
      <c r="F176" s="98">
        <v>11000</v>
      </c>
      <c r="G176" s="98">
        <v>110</v>
      </c>
      <c r="H176" s="98">
        <v>1</v>
      </c>
      <c r="I176" s="98">
        <v>0</v>
      </c>
      <c r="J176" s="13"/>
      <c r="K176" s="13"/>
      <c r="L176" s="13"/>
      <c r="M176" s="13"/>
      <c r="V176">
        <f ca="1"/>
        <v>8</v>
      </c>
      <c r="W176">
        <f ca="1"/>
        <v>1</v>
      </c>
      <c r="X176">
        <f ca="1"/>
        <v>11000</v>
      </c>
      <c r="Y176">
        <f ca="1"/>
        <v>110</v>
      </c>
      <c r="Z176">
        <f ca="1"/>
        <v>1</v>
      </c>
      <c r="AA176">
        <f ca="1"/>
        <v>0</v>
      </c>
      <c r="AB176">
        <f ca="1"/>
        <v>8</v>
      </c>
      <c r="AC176">
        <f ca="1"/>
        <v>1</v>
      </c>
      <c r="AD176">
        <f ca="1"/>
        <v>11000</v>
      </c>
      <c r="AE176">
        <f ca="1"/>
        <v>110</v>
      </c>
      <c r="AF176">
        <f ca="1"/>
        <v>1</v>
      </c>
      <c r="AG176" t="str">
        <f ca="1"/>
        <v/>
      </c>
      <c r="AH176" t="str">
        <f ca="1"/>
        <v/>
      </c>
      <c r="AI176" t="str">
        <f ca="1"/>
        <v/>
      </c>
      <c r="AJ176" t="str">
        <f ca="1"/>
        <v/>
      </c>
      <c r="AK176" t="str">
        <f ca="1"/>
        <v/>
      </c>
      <c r="AL176" t="str">
        <f ca="1"/>
        <v/>
      </c>
      <c r="AM176" t="str">
        <f ca="1"/>
        <v/>
      </c>
      <c r="AN176" t="str">
        <f ca="1"/>
        <v/>
      </c>
    </row>
    <row r="177" spans="1:40" x14ac:dyDescent="0.25">
      <c r="A177" s="14">
        <f t="shared" si="9"/>
        <v>173</v>
      </c>
      <c r="B177" s="97">
        <v>19500</v>
      </c>
      <c r="C177" s="39">
        <f t="shared" si="8"/>
        <v>1</v>
      </c>
      <c r="D177" s="97">
        <v>8</v>
      </c>
      <c r="E177" s="97">
        <v>1</v>
      </c>
      <c r="F177" s="98">
        <v>10077</v>
      </c>
      <c r="G177" s="98">
        <v>97</v>
      </c>
      <c r="H177" s="98">
        <v>1</v>
      </c>
      <c r="I177" s="98">
        <v>0</v>
      </c>
      <c r="J177" s="13"/>
      <c r="K177" s="13"/>
      <c r="L177" s="13"/>
      <c r="M177" s="13"/>
      <c r="V177">
        <f ca="1"/>
        <v>8</v>
      </c>
      <c r="W177">
        <f ca="1"/>
        <v>1</v>
      </c>
      <c r="X177">
        <f ca="1"/>
        <v>10077</v>
      </c>
      <c r="Y177">
        <f ca="1"/>
        <v>97</v>
      </c>
      <c r="Z177">
        <f ca="1"/>
        <v>1</v>
      </c>
      <c r="AA177">
        <f ca="1"/>
        <v>0</v>
      </c>
      <c r="AB177">
        <f ca="1"/>
        <v>8</v>
      </c>
      <c r="AC177">
        <f ca="1"/>
        <v>1</v>
      </c>
      <c r="AD177">
        <f ca="1"/>
        <v>10077</v>
      </c>
      <c r="AE177">
        <f ca="1"/>
        <v>97</v>
      </c>
      <c r="AF177">
        <f ca="1"/>
        <v>1</v>
      </c>
      <c r="AG177" t="str">
        <f ca="1"/>
        <v/>
      </c>
      <c r="AH177" t="str">
        <f ca="1"/>
        <v/>
      </c>
      <c r="AI177" t="str">
        <f ca="1"/>
        <v/>
      </c>
      <c r="AJ177" t="str">
        <f ca="1"/>
        <v/>
      </c>
      <c r="AK177" t="str">
        <f ca="1"/>
        <v/>
      </c>
      <c r="AL177" t="str">
        <f ca="1"/>
        <v/>
      </c>
      <c r="AM177" t="str">
        <f ca="1"/>
        <v/>
      </c>
      <c r="AN177" t="str">
        <f ca="1"/>
        <v/>
      </c>
    </row>
    <row r="178" spans="1:40" x14ac:dyDescent="0.25">
      <c r="A178" s="14">
        <f t="shared" si="9"/>
        <v>174</v>
      </c>
      <c r="B178" s="97">
        <v>18950</v>
      </c>
      <c r="C178" s="39">
        <f t="shared" si="8"/>
        <v>1</v>
      </c>
      <c r="D178" s="97">
        <v>8</v>
      </c>
      <c r="E178" s="97">
        <v>1</v>
      </c>
      <c r="F178" s="98">
        <v>10000</v>
      </c>
      <c r="G178" s="98">
        <v>97</v>
      </c>
      <c r="H178" s="98">
        <v>1</v>
      </c>
      <c r="I178" s="98">
        <v>0</v>
      </c>
      <c r="J178" s="13"/>
      <c r="K178" s="13"/>
      <c r="L178" s="13"/>
      <c r="M178" s="13"/>
      <c r="V178">
        <f ca="1"/>
        <v>8</v>
      </c>
      <c r="W178">
        <f ca="1"/>
        <v>1</v>
      </c>
      <c r="X178">
        <f ca="1"/>
        <v>10000</v>
      </c>
      <c r="Y178">
        <f ca="1"/>
        <v>97</v>
      </c>
      <c r="Z178">
        <f ca="1"/>
        <v>1</v>
      </c>
      <c r="AA178">
        <f ca="1"/>
        <v>0</v>
      </c>
      <c r="AB178">
        <f ca="1"/>
        <v>8</v>
      </c>
      <c r="AC178">
        <f ca="1"/>
        <v>1</v>
      </c>
      <c r="AD178">
        <f ca="1"/>
        <v>10000</v>
      </c>
      <c r="AE178">
        <f ca="1"/>
        <v>97</v>
      </c>
      <c r="AF178">
        <f ca="1"/>
        <v>1</v>
      </c>
      <c r="AG178" t="str">
        <f ca="1"/>
        <v/>
      </c>
      <c r="AH178" t="str">
        <f ca="1"/>
        <v/>
      </c>
      <c r="AI178" t="str">
        <f ca="1"/>
        <v/>
      </c>
      <c r="AJ178" t="str">
        <f ca="1"/>
        <v/>
      </c>
      <c r="AK178" t="str">
        <f ca="1"/>
        <v/>
      </c>
      <c r="AL178" t="str">
        <f ca="1"/>
        <v/>
      </c>
      <c r="AM178" t="str">
        <f ca="1"/>
        <v/>
      </c>
      <c r="AN178" t="str">
        <f ca="1"/>
        <v/>
      </c>
    </row>
    <row r="179" spans="1:40" x14ac:dyDescent="0.25">
      <c r="A179" s="14">
        <f t="shared" si="9"/>
        <v>175</v>
      </c>
      <c r="B179" s="97">
        <v>21950</v>
      </c>
      <c r="C179" s="39">
        <f t="shared" si="8"/>
        <v>1</v>
      </c>
      <c r="D179" s="97">
        <v>8</v>
      </c>
      <c r="E179" s="97">
        <v>1</v>
      </c>
      <c r="F179" s="98">
        <v>9788</v>
      </c>
      <c r="G179" s="98">
        <v>110</v>
      </c>
      <c r="H179" s="98">
        <v>1</v>
      </c>
      <c r="I179" s="98">
        <v>0</v>
      </c>
      <c r="J179" s="13"/>
      <c r="K179" s="13"/>
      <c r="L179" s="13"/>
      <c r="M179" s="13"/>
      <c r="V179">
        <f ca="1"/>
        <v>8</v>
      </c>
      <c r="W179">
        <f ca="1"/>
        <v>1</v>
      </c>
      <c r="X179">
        <f ca="1"/>
        <v>9788</v>
      </c>
      <c r="Y179">
        <f ca="1"/>
        <v>110</v>
      </c>
      <c r="Z179">
        <f ca="1"/>
        <v>1</v>
      </c>
      <c r="AA179">
        <f ca="1"/>
        <v>0</v>
      </c>
      <c r="AB179">
        <f ca="1"/>
        <v>8</v>
      </c>
      <c r="AC179">
        <f ca="1"/>
        <v>1</v>
      </c>
      <c r="AD179">
        <f ca="1"/>
        <v>9788</v>
      </c>
      <c r="AE179">
        <f ca="1"/>
        <v>110</v>
      </c>
      <c r="AF179">
        <f ca="1"/>
        <v>1</v>
      </c>
      <c r="AG179" t="str">
        <f ca="1"/>
        <v/>
      </c>
      <c r="AH179" t="str">
        <f ca="1"/>
        <v/>
      </c>
      <c r="AI179" t="str">
        <f ca="1"/>
        <v/>
      </c>
      <c r="AJ179" t="str">
        <f ca="1"/>
        <v/>
      </c>
      <c r="AK179" t="str">
        <f ca="1"/>
        <v/>
      </c>
      <c r="AL179" t="str">
        <f ca="1"/>
        <v/>
      </c>
      <c r="AM179" t="str">
        <f ca="1"/>
        <v/>
      </c>
      <c r="AN179" t="str">
        <f ca="1"/>
        <v/>
      </c>
    </row>
    <row r="180" spans="1:40" x14ac:dyDescent="0.25">
      <c r="A180" s="14">
        <f t="shared" si="9"/>
        <v>176</v>
      </c>
      <c r="B180" s="97">
        <v>19950</v>
      </c>
      <c r="C180" s="39">
        <f t="shared" si="8"/>
        <v>1</v>
      </c>
      <c r="D180" s="97">
        <v>8</v>
      </c>
      <c r="E180" s="97">
        <v>1</v>
      </c>
      <c r="F180" s="98">
        <v>8574</v>
      </c>
      <c r="G180" s="98">
        <v>110</v>
      </c>
      <c r="H180" s="98">
        <v>1</v>
      </c>
      <c r="I180" s="98">
        <v>0</v>
      </c>
      <c r="J180" s="13"/>
      <c r="K180" s="13"/>
      <c r="L180" s="13"/>
      <c r="M180" s="13"/>
      <c r="V180">
        <f ca="1"/>
        <v>8</v>
      </c>
      <c r="W180">
        <f ca="1"/>
        <v>1</v>
      </c>
      <c r="X180">
        <f ca="1"/>
        <v>8574</v>
      </c>
      <c r="Y180">
        <f ca="1"/>
        <v>110</v>
      </c>
      <c r="Z180">
        <f ca="1"/>
        <v>1</v>
      </c>
      <c r="AA180">
        <f ca="1"/>
        <v>0</v>
      </c>
      <c r="AB180">
        <f ca="1"/>
        <v>8</v>
      </c>
      <c r="AC180">
        <f ca="1"/>
        <v>1</v>
      </c>
      <c r="AD180">
        <f ca="1"/>
        <v>8574</v>
      </c>
      <c r="AE180">
        <f ca="1"/>
        <v>110</v>
      </c>
      <c r="AF180">
        <f ca="1"/>
        <v>1</v>
      </c>
      <c r="AG180" t="str">
        <f ca="1"/>
        <v/>
      </c>
      <c r="AH180" t="str">
        <f ca="1"/>
        <v/>
      </c>
      <c r="AI180" t="str">
        <f ca="1"/>
        <v/>
      </c>
      <c r="AJ180" t="str">
        <f ca="1"/>
        <v/>
      </c>
      <c r="AK180" t="str">
        <f ca="1"/>
        <v/>
      </c>
      <c r="AL180" t="str">
        <f ca="1"/>
        <v/>
      </c>
      <c r="AM180" t="str">
        <f ca="1"/>
        <v/>
      </c>
      <c r="AN180" t="str">
        <f ca="1"/>
        <v/>
      </c>
    </row>
    <row r="181" spans="1:40" x14ac:dyDescent="0.25">
      <c r="A181" s="14">
        <f t="shared" si="9"/>
        <v>177</v>
      </c>
      <c r="B181" s="97">
        <v>18950</v>
      </c>
      <c r="C181" s="39">
        <f t="shared" si="8"/>
        <v>1</v>
      </c>
      <c r="D181" s="97">
        <v>8</v>
      </c>
      <c r="E181" s="97">
        <v>1</v>
      </c>
      <c r="F181" s="98">
        <v>7000</v>
      </c>
      <c r="G181" s="98">
        <v>110</v>
      </c>
      <c r="H181" s="98">
        <v>0</v>
      </c>
      <c r="I181" s="98">
        <v>0</v>
      </c>
      <c r="J181" s="13"/>
      <c r="K181" s="13"/>
      <c r="L181" s="13"/>
      <c r="M181" s="13"/>
      <c r="V181">
        <f ca="1"/>
        <v>8</v>
      </c>
      <c r="W181">
        <f ca="1"/>
        <v>1</v>
      </c>
      <c r="X181">
        <f ca="1"/>
        <v>7000</v>
      </c>
      <c r="Y181">
        <f ca="1"/>
        <v>110</v>
      </c>
      <c r="Z181">
        <f ca="1"/>
        <v>0</v>
      </c>
      <c r="AA181">
        <f ca="1"/>
        <v>0</v>
      </c>
      <c r="AB181">
        <f ca="1"/>
        <v>8</v>
      </c>
      <c r="AC181">
        <f ca="1"/>
        <v>1</v>
      </c>
      <c r="AD181">
        <f ca="1"/>
        <v>7000</v>
      </c>
      <c r="AE181">
        <f ca="1"/>
        <v>110</v>
      </c>
      <c r="AF181">
        <f ca="1"/>
        <v>0</v>
      </c>
      <c r="AG181" t="str">
        <f ca="1"/>
        <v/>
      </c>
      <c r="AH181" t="str">
        <f ca="1"/>
        <v/>
      </c>
      <c r="AI181" t="str">
        <f ca="1"/>
        <v/>
      </c>
      <c r="AJ181" t="str">
        <f ca="1"/>
        <v/>
      </c>
      <c r="AK181" t="str">
        <f ca="1"/>
        <v/>
      </c>
      <c r="AL181" t="str">
        <f ca="1"/>
        <v/>
      </c>
      <c r="AM181" t="str">
        <f ca="1"/>
        <v/>
      </c>
      <c r="AN181" t="str">
        <f ca="1"/>
        <v/>
      </c>
    </row>
    <row r="182" spans="1:40" x14ac:dyDescent="0.25">
      <c r="A182" s="14">
        <f t="shared" si="9"/>
        <v>178</v>
      </c>
      <c r="B182" s="97">
        <v>19950</v>
      </c>
      <c r="C182" s="39">
        <f t="shared" si="8"/>
        <v>1</v>
      </c>
      <c r="D182" s="97">
        <v>7</v>
      </c>
      <c r="E182" s="97">
        <v>2</v>
      </c>
      <c r="F182" s="98">
        <v>6250</v>
      </c>
      <c r="G182" s="98">
        <v>110</v>
      </c>
      <c r="H182" s="98">
        <v>1</v>
      </c>
      <c r="I182" s="98">
        <v>0</v>
      </c>
      <c r="J182" s="13"/>
      <c r="K182" s="13"/>
      <c r="L182" s="13"/>
      <c r="M182" s="13"/>
      <c r="V182">
        <f ca="1"/>
        <v>7</v>
      </c>
      <c r="W182">
        <f ca="1"/>
        <v>2</v>
      </c>
      <c r="X182">
        <f ca="1"/>
        <v>6250</v>
      </c>
      <c r="Y182">
        <f ca="1"/>
        <v>110</v>
      </c>
      <c r="Z182">
        <f ca="1"/>
        <v>1</v>
      </c>
      <c r="AA182">
        <f ca="1"/>
        <v>0</v>
      </c>
      <c r="AB182">
        <f ca="1"/>
        <v>7</v>
      </c>
      <c r="AC182">
        <f ca="1"/>
        <v>2</v>
      </c>
      <c r="AD182">
        <f ca="1"/>
        <v>6250</v>
      </c>
      <c r="AE182">
        <f ca="1"/>
        <v>110</v>
      </c>
      <c r="AF182">
        <f ca="1"/>
        <v>1</v>
      </c>
      <c r="AG182" t="str">
        <f ca="1"/>
        <v/>
      </c>
      <c r="AH182" t="str">
        <f ca="1"/>
        <v/>
      </c>
      <c r="AI182" t="str">
        <f ca="1"/>
        <v/>
      </c>
      <c r="AJ182" t="str">
        <f ca="1"/>
        <v/>
      </c>
      <c r="AK182" t="str">
        <f ca="1"/>
        <v/>
      </c>
      <c r="AL182" t="str">
        <f ca="1"/>
        <v/>
      </c>
      <c r="AM182" t="str">
        <f ca="1"/>
        <v/>
      </c>
      <c r="AN182" t="str">
        <f ca="1"/>
        <v/>
      </c>
    </row>
    <row r="183" spans="1:40" x14ac:dyDescent="0.25">
      <c r="A183" s="14">
        <f t="shared" si="9"/>
        <v>179</v>
      </c>
      <c r="B183" s="97">
        <v>21950</v>
      </c>
      <c r="C183" s="39">
        <f t="shared" si="8"/>
        <v>1</v>
      </c>
      <c r="D183" s="97">
        <v>8</v>
      </c>
      <c r="E183" s="97">
        <v>1</v>
      </c>
      <c r="F183" s="98">
        <v>5000</v>
      </c>
      <c r="G183" s="98">
        <v>110</v>
      </c>
      <c r="H183" s="98">
        <v>1</v>
      </c>
      <c r="I183" s="98">
        <v>0</v>
      </c>
      <c r="J183" s="13"/>
      <c r="K183" s="13"/>
      <c r="L183" s="13"/>
      <c r="M183" s="13"/>
      <c r="V183">
        <f ca="1"/>
        <v>8</v>
      </c>
      <c r="W183">
        <f ca="1"/>
        <v>1</v>
      </c>
      <c r="X183">
        <f ca="1"/>
        <v>5000</v>
      </c>
      <c r="Y183">
        <f ca="1"/>
        <v>110</v>
      </c>
      <c r="Z183">
        <f ca="1"/>
        <v>1</v>
      </c>
      <c r="AA183">
        <f ca="1"/>
        <v>0</v>
      </c>
      <c r="AB183">
        <f ca="1"/>
        <v>8</v>
      </c>
      <c r="AC183">
        <f ca="1"/>
        <v>1</v>
      </c>
      <c r="AD183">
        <f ca="1"/>
        <v>5000</v>
      </c>
      <c r="AE183">
        <f ca="1"/>
        <v>110</v>
      </c>
      <c r="AF183">
        <f ca="1"/>
        <v>1</v>
      </c>
      <c r="AG183" t="str">
        <f ca="1"/>
        <v/>
      </c>
      <c r="AH183" t="str">
        <f ca="1"/>
        <v/>
      </c>
      <c r="AI183" t="str">
        <f ca="1"/>
        <v/>
      </c>
      <c r="AJ183" t="str">
        <f ca="1"/>
        <v/>
      </c>
      <c r="AK183" t="str">
        <f ca="1"/>
        <v/>
      </c>
      <c r="AL183" t="str">
        <f ca="1"/>
        <v/>
      </c>
      <c r="AM183" t="str">
        <f ca="1"/>
        <v/>
      </c>
      <c r="AN183" t="str">
        <f ca="1"/>
        <v/>
      </c>
    </row>
    <row r="184" spans="1:40" x14ac:dyDescent="0.25">
      <c r="A184" s="14">
        <f t="shared" si="9"/>
        <v>180</v>
      </c>
      <c r="B184" s="97">
        <v>22500</v>
      </c>
      <c r="C184" s="39">
        <f t="shared" si="8"/>
        <v>1</v>
      </c>
      <c r="D184" s="97">
        <v>6</v>
      </c>
      <c r="E184" s="97">
        <v>3</v>
      </c>
      <c r="F184" s="98">
        <v>3000</v>
      </c>
      <c r="G184" s="98">
        <v>110</v>
      </c>
      <c r="H184" s="98">
        <v>0</v>
      </c>
      <c r="I184" s="98">
        <v>0</v>
      </c>
      <c r="J184" s="13"/>
      <c r="K184" s="13"/>
      <c r="L184" s="13"/>
      <c r="M184" s="13"/>
      <c r="V184">
        <f ca="1"/>
        <v>6</v>
      </c>
      <c r="W184">
        <f ca="1"/>
        <v>3</v>
      </c>
      <c r="X184">
        <f ca="1"/>
        <v>3000</v>
      </c>
      <c r="Y184">
        <f ca="1"/>
        <v>110</v>
      </c>
      <c r="Z184">
        <f ca="1"/>
        <v>0</v>
      </c>
      <c r="AA184">
        <f ca="1"/>
        <v>0</v>
      </c>
      <c r="AB184">
        <f ca="1"/>
        <v>6</v>
      </c>
      <c r="AC184">
        <f ca="1"/>
        <v>3</v>
      </c>
      <c r="AD184">
        <f ca="1"/>
        <v>3000</v>
      </c>
      <c r="AE184">
        <f ca="1"/>
        <v>110</v>
      </c>
      <c r="AF184">
        <f ca="1"/>
        <v>0</v>
      </c>
      <c r="AG184" t="str">
        <f ca="1"/>
        <v/>
      </c>
      <c r="AH184" t="str">
        <f ca="1"/>
        <v/>
      </c>
      <c r="AI184" t="str">
        <f ca="1"/>
        <v/>
      </c>
      <c r="AJ184" t="str">
        <f ca="1"/>
        <v/>
      </c>
      <c r="AK184" t="str">
        <f ca="1"/>
        <v/>
      </c>
      <c r="AL184" t="str">
        <f ca="1"/>
        <v/>
      </c>
      <c r="AM184" t="str">
        <f ca="1"/>
        <v/>
      </c>
      <c r="AN184" t="str">
        <f ca="1"/>
        <v/>
      </c>
    </row>
    <row r="185" spans="1:40" x14ac:dyDescent="0.25">
      <c r="A185" s="14">
        <f t="shared" si="9"/>
        <v>181</v>
      </c>
      <c r="B185" s="97">
        <v>18500</v>
      </c>
      <c r="C185" s="39">
        <f t="shared" si="8"/>
        <v>1</v>
      </c>
      <c r="D185" s="97">
        <v>7</v>
      </c>
      <c r="E185" s="97">
        <v>2</v>
      </c>
      <c r="F185" s="98">
        <v>2000</v>
      </c>
      <c r="G185" s="98">
        <v>110</v>
      </c>
      <c r="H185" s="98">
        <v>0</v>
      </c>
      <c r="I185" s="98">
        <v>0</v>
      </c>
      <c r="J185" s="13"/>
      <c r="K185" s="13"/>
      <c r="L185" s="13"/>
      <c r="M185" s="13"/>
      <c r="V185">
        <f ca="1"/>
        <v>7</v>
      </c>
      <c r="W185">
        <f ca="1"/>
        <v>2</v>
      </c>
      <c r="X185">
        <f ca="1"/>
        <v>2000</v>
      </c>
      <c r="Y185">
        <f ca="1"/>
        <v>110</v>
      </c>
      <c r="Z185">
        <f ca="1"/>
        <v>0</v>
      </c>
      <c r="AA185">
        <f ca="1"/>
        <v>0</v>
      </c>
      <c r="AB185">
        <f ca="1"/>
        <v>7</v>
      </c>
      <c r="AC185">
        <f ca="1"/>
        <v>2</v>
      </c>
      <c r="AD185">
        <f ca="1"/>
        <v>2000</v>
      </c>
      <c r="AE185">
        <f ca="1"/>
        <v>110</v>
      </c>
      <c r="AF185">
        <f ca="1"/>
        <v>0</v>
      </c>
      <c r="AG185" t="str">
        <f ca="1"/>
        <v/>
      </c>
      <c r="AH185" t="str">
        <f ca="1"/>
        <v/>
      </c>
      <c r="AI185" t="str">
        <f ca="1"/>
        <v/>
      </c>
      <c r="AJ185" t="str">
        <f ca="1"/>
        <v/>
      </c>
      <c r="AK185" t="str">
        <f ca="1"/>
        <v/>
      </c>
      <c r="AL185" t="str">
        <f ca="1"/>
        <v/>
      </c>
      <c r="AM185" t="str">
        <f ca="1"/>
        <v/>
      </c>
      <c r="AN185" t="str">
        <f ca="1"/>
        <v/>
      </c>
    </row>
    <row r="186" spans="1:40" x14ac:dyDescent="0.25">
      <c r="A186" s="14">
        <f t="shared" si="9"/>
        <v>182</v>
      </c>
      <c r="B186" s="97">
        <v>18700</v>
      </c>
      <c r="C186" s="39">
        <f t="shared" si="8"/>
        <v>1</v>
      </c>
      <c r="D186" s="97">
        <v>7</v>
      </c>
      <c r="E186" s="97">
        <v>2</v>
      </c>
      <c r="F186" s="98">
        <v>450</v>
      </c>
      <c r="G186" s="98">
        <v>97</v>
      </c>
      <c r="H186" s="98">
        <v>1</v>
      </c>
      <c r="I186" s="98">
        <v>0</v>
      </c>
      <c r="J186" s="13"/>
      <c r="K186" s="13"/>
      <c r="L186" s="13"/>
      <c r="M186" s="13"/>
      <c r="V186">
        <f ca="1"/>
        <v>7</v>
      </c>
      <c r="W186">
        <f ca="1"/>
        <v>2</v>
      </c>
      <c r="X186">
        <f ca="1"/>
        <v>450</v>
      </c>
      <c r="Y186">
        <f ca="1"/>
        <v>97</v>
      </c>
      <c r="Z186">
        <f ca="1"/>
        <v>1</v>
      </c>
      <c r="AA186">
        <f ca="1"/>
        <v>0</v>
      </c>
      <c r="AB186">
        <f ca="1"/>
        <v>7</v>
      </c>
      <c r="AC186">
        <f ca="1"/>
        <v>2</v>
      </c>
      <c r="AD186">
        <f ca="1"/>
        <v>450</v>
      </c>
      <c r="AE186">
        <f ca="1"/>
        <v>97</v>
      </c>
      <c r="AF186">
        <f ca="1"/>
        <v>1</v>
      </c>
      <c r="AG186" t="str">
        <f ca="1"/>
        <v/>
      </c>
      <c r="AH186" t="str">
        <f ca="1"/>
        <v/>
      </c>
      <c r="AI186" t="str">
        <f ca="1"/>
        <v/>
      </c>
      <c r="AJ186" t="str">
        <f ca="1"/>
        <v/>
      </c>
      <c r="AK186" t="str">
        <f ca="1"/>
        <v/>
      </c>
      <c r="AL186" t="str">
        <f ca="1"/>
        <v/>
      </c>
      <c r="AM186" t="str">
        <f ca="1"/>
        <v/>
      </c>
      <c r="AN186" t="str">
        <f ca="1"/>
        <v/>
      </c>
    </row>
    <row r="187" spans="1:40" x14ac:dyDescent="0.25">
      <c r="A187" s="14">
        <f t="shared" si="9"/>
        <v>183</v>
      </c>
      <c r="B187" s="97">
        <v>21125</v>
      </c>
      <c r="C187" s="39">
        <f t="shared" si="8"/>
        <v>1</v>
      </c>
      <c r="D187" s="97">
        <v>2</v>
      </c>
      <c r="E187" s="97">
        <v>7</v>
      </c>
      <c r="F187" s="98">
        <v>225</v>
      </c>
      <c r="G187" s="98">
        <v>97</v>
      </c>
      <c r="H187" s="98">
        <v>1</v>
      </c>
      <c r="I187" s="98">
        <v>0</v>
      </c>
      <c r="J187" s="13"/>
      <c r="K187" s="13"/>
      <c r="L187" s="13"/>
      <c r="M187" s="13"/>
      <c r="V187">
        <f ca="1"/>
        <v>2</v>
      </c>
      <c r="W187">
        <f ca="1"/>
        <v>7</v>
      </c>
      <c r="X187">
        <f ca="1"/>
        <v>225</v>
      </c>
      <c r="Y187">
        <f ca="1"/>
        <v>97</v>
      </c>
      <c r="Z187">
        <f ca="1"/>
        <v>1</v>
      </c>
      <c r="AA187">
        <f ca="1"/>
        <v>0</v>
      </c>
      <c r="AB187">
        <f ca="1"/>
        <v>2</v>
      </c>
      <c r="AC187">
        <f ca="1"/>
        <v>7</v>
      </c>
      <c r="AD187">
        <f ca="1"/>
        <v>225</v>
      </c>
      <c r="AE187">
        <f ca="1"/>
        <v>97</v>
      </c>
      <c r="AF187">
        <f ca="1"/>
        <v>1</v>
      </c>
      <c r="AG187" t="str">
        <f ca="1"/>
        <v/>
      </c>
      <c r="AH187" t="str">
        <f ca="1"/>
        <v/>
      </c>
      <c r="AI187" t="str">
        <f ca="1"/>
        <v/>
      </c>
      <c r="AJ187" t="str">
        <f ca="1"/>
        <v/>
      </c>
      <c r="AK187" t="str">
        <f ca="1"/>
        <v/>
      </c>
      <c r="AL187" t="str">
        <f ca="1"/>
        <v/>
      </c>
      <c r="AM187" t="str">
        <f ca="1"/>
        <v/>
      </c>
      <c r="AN187" t="str">
        <f ca="1"/>
        <v/>
      </c>
    </row>
    <row r="188" spans="1:40" x14ac:dyDescent="0.25">
      <c r="A188" s="14">
        <f t="shared" si="9"/>
        <v>184</v>
      </c>
      <c r="B188" s="97">
        <v>21500</v>
      </c>
      <c r="C188" s="39">
        <f t="shared" si="8"/>
        <v>1</v>
      </c>
      <c r="D188" s="97">
        <v>2</v>
      </c>
      <c r="E188" s="97">
        <v>7</v>
      </c>
      <c r="F188" s="98">
        <v>15</v>
      </c>
      <c r="G188" s="98">
        <v>110</v>
      </c>
      <c r="H188" s="98">
        <v>1</v>
      </c>
      <c r="I188" s="98">
        <v>0</v>
      </c>
      <c r="J188" s="13"/>
      <c r="K188" s="13"/>
      <c r="L188" s="13"/>
      <c r="M188" s="13"/>
      <c r="V188">
        <f ca="1"/>
        <v>2</v>
      </c>
      <c r="W188">
        <f ca="1"/>
        <v>7</v>
      </c>
      <c r="X188">
        <f ca="1"/>
        <v>15</v>
      </c>
      <c r="Y188">
        <f ca="1"/>
        <v>110</v>
      </c>
      <c r="Z188">
        <f ca="1"/>
        <v>1</v>
      </c>
      <c r="AA188">
        <f ca="1"/>
        <v>0</v>
      </c>
      <c r="AB188">
        <f ca="1"/>
        <v>2</v>
      </c>
      <c r="AC188">
        <f ca="1"/>
        <v>7</v>
      </c>
      <c r="AD188">
        <f ca="1"/>
        <v>15</v>
      </c>
      <c r="AE188">
        <f ca="1"/>
        <v>110</v>
      </c>
      <c r="AF188">
        <f ca="1"/>
        <v>1</v>
      </c>
      <c r="AG188" t="str">
        <f ca="1"/>
        <v/>
      </c>
      <c r="AH188" t="str">
        <f ca="1"/>
        <v/>
      </c>
      <c r="AI188" t="str">
        <f ca="1"/>
        <v/>
      </c>
      <c r="AJ188" t="str">
        <f ca="1"/>
        <v/>
      </c>
      <c r="AK188" t="str">
        <f ca="1"/>
        <v/>
      </c>
      <c r="AL188" t="str">
        <f ca="1"/>
        <v/>
      </c>
      <c r="AM188" t="str">
        <f ca="1"/>
        <v/>
      </c>
      <c r="AN188" t="str">
        <f ca="1"/>
        <v/>
      </c>
    </row>
    <row r="189" spans="1:40" x14ac:dyDescent="0.25">
      <c r="A189" s="14">
        <f t="shared" si="9"/>
        <v>185</v>
      </c>
      <c r="B189" s="97">
        <v>17795</v>
      </c>
      <c r="C189" s="39">
        <f t="shared" si="8"/>
        <v>1</v>
      </c>
      <c r="D189" s="97">
        <v>1</v>
      </c>
      <c r="E189" s="97">
        <v>8</v>
      </c>
      <c r="F189" s="98">
        <v>1</v>
      </c>
      <c r="G189" s="98">
        <v>98</v>
      </c>
      <c r="H189" s="98">
        <v>1</v>
      </c>
      <c r="I189" s="98">
        <v>0</v>
      </c>
      <c r="J189" s="13"/>
      <c r="K189" s="13"/>
      <c r="L189" s="13"/>
      <c r="M189" s="13"/>
      <c r="V189">
        <f ca="1"/>
        <v>1</v>
      </c>
      <c r="W189">
        <f ca="1"/>
        <v>8</v>
      </c>
      <c r="X189">
        <f ca="1"/>
        <v>1</v>
      </c>
      <c r="Y189">
        <f ca="1"/>
        <v>98</v>
      </c>
      <c r="Z189">
        <f ca="1"/>
        <v>1</v>
      </c>
      <c r="AA189">
        <f ca="1"/>
        <v>0</v>
      </c>
      <c r="AB189">
        <f ca="1"/>
        <v>1</v>
      </c>
      <c r="AC189">
        <f ca="1"/>
        <v>8</v>
      </c>
      <c r="AD189">
        <f ca="1"/>
        <v>1</v>
      </c>
      <c r="AE189">
        <f ca="1"/>
        <v>98</v>
      </c>
      <c r="AF189">
        <f ca="1"/>
        <v>1</v>
      </c>
      <c r="AG189" t="str">
        <f ca="1"/>
        <v/>
      </c>
      <c r="AH189" t="str">
        <f ca="1"/>
        <v/>
      </c>
      <c r="AI189" t="str">
        <f ca="1"/>
        <v/>
      </c>
      <c r="AJ189" t="str">
        <f ca="1"/>
        <v/>
      </c>
      <c r="AK189" t="str">
        <f ca="1"/>
        <v/>
      </c>
      <c r="AL189" t="str">
        <f ca="1"/>
        <v/>
      </c>
      <c r="AM189" t="str">
        <f ca="1"/>
        <v/>
      </c>
      <c r="AN189" t="str">
        <f ca="1"/>
        <v/>
      </c>
    </row>
    <row r="190" spans="1:40" x14ac:dyDescent="0.25">
      <c r="A190" s="14">
        <f t="shared" si="9"/>
        <v>186</v>
      </c>
      <c r="B190" s="97">
        <v>18245</v>
      </c>
      <c r="C190" s="39">
        <f t="shared" si="8"/>
        <v>1</v>
      </c>
      <c r="D190" s="97">
        <v>1</v>
      </c>
      <c r="E190" s="97">
        <v>8</v>
      </c>
      <c r="F190" s="98">
        <v>1</v>
      </c>
      <c r="G190" s="98">
        <v>110</v>
      </c>
      <c r="H190" s="98">
        <v>1</v>
      </c>
      <c r="I190" s="98">
        <v>0</v>
      </c>
      <c r="J190" s="13"/>
      <c r="K190" s="13"/>
      <c r="L190" s="13"/>
      <c r="M190" s="13"/>
      <c r="V190">
        <f ca="1"/>
        <v>1</v>
      </c>
      <c r="W190">
        <f ca="1"/>
        <v>8</v>
      </c>
      <c r="X190">
        <f ca="1"/>
        <v>1</v>
      </c>
      <c r="Y190">
        <f ca="1"/>
        <v>110</v>
      </c>
      <c r="Z190">
        <f ca="1"/>
        <v>1</v>
      </c>
      <c r="AA190">
        <f ca="1"/>
        <v>0</v>
      </c>
      <c r="AB190">
        <f ca="1"/>
        <v>1</v>
      </c>
      <c r="AC190">
        <f ca="1"/>
        <v>8</v>
      </c>
      <c r="AD190">
        <f ca="1"/>
        <v>1</v>
      </c>
      <c r="AE190">
        <f ca="1"/>
        <v>110</v>
      </c>
      <c r="AF190">
        <f ca="1"/>
        <v>1</v>
      </c>
      <c r="AG190" t="str">
        <f ca="1"/>
        <v/>
      </c>
      <c r="AH190" t="str">
        <f ca="1"/>
        <v/>
      </c>
      <c r="AI190" t="str">
        <f ca="1"/>
        <v/>
      </c>
      <c r="AJ190" t="str">
        <f ca="1"/>
        <v/>
      </c>
      <c r="AK190" t="str">
        <f ca="1"/>
        <v/>
      </c>
      <c r="AL190" t="str">
        <f ca="1"/>
        <v/>
      </c>
      <c r="AM190" t="str">
        <f ca="1"/>
        <v/>
      </c>
      <c r="AN190" t="str">
        <f ca="1"/>
        <v/>
      </c>
    </row>
    <row r="191" spans="1:40" x14ac:dyDescent="0.25">
      <c r="A191" s="14">
        <f t="shared" si="9"/>
        <v>187</v>
      </c>
      <c r="B191" s="97">
        <v>6950</v>
      </c>
      <c r="C191" s="39">
        <f t="shared" si="8"/>
        <v>1</v>
      </c>
      <c r="D191" s="97">
        <v>43</v>
      </c>
      <c r="E191" s="97">
        <v>2</v>
      </c>
      <c r="F191" s="98">
        <v>243000</v>
      </c>
      <c r="G191" s="98">
        <v>69</v>
      </c>
      <c r="H191" s="98">
        <v>0</v>
      </c>
      <c r="I191" s="98">
        <v>0</v>
      </c>
      <c r="J191" s="13"/>
      <c r="K191" s="13"/>
      <c r="L191" s="13"/>
      <c r="M191" s="13"/>
      <c r="V191">
        <f ca="1"/>
        <v>43</v>
      </c>
      <c r="W191">
        <f ca="1"/>
        <v>2</v>
      </c>
      <c r="X191">
        <f ca="1"/>
        <v>243000</v>
      </c>
      <c r="Y191">
        <f ca="1"/>
        <v>69</v>
      </c>
      <c r="Z191">
        <f ca="1"/>
        <v>0</v>
      </c>
      <c r="AA191">
        <f ca="1"/>
        <v>0</v>
      </c>
      <c r="AB191">
        <f ca="1"/>
        <v>43</v>
      </c>
      <c r="AC191">
        <f ca="1"/>
        <v>2</v>
      </c>
      <c r="AD191">
        <f ca="1"/>
        <v>243000</v>
      </c>
      <c r="AE191">
        <f ca="1"/>
        <v>69</v>
      </c>
      <c r="AF191">
        <f ca="1"/>
        <v>0</v>
      </c>
      <c r="AG191" t="str">
        <f ca="1"/>
        <v/>
      </c>
      <c r="AH191" t="str">
        <f ca="1"/>
        <v/>
      </c>
      <c r="AI191" t="str">
        <f ca="1"/>
        <v/>
      </c>
      <c r="AJ191" t="str">
        <f ca="1"/>
        <v/>
      </c>
      <c r="AK191" t="str">
        <f ca="1"/>
        <v/>
      </c>
      <c r="AL191" t="str">
        <f ca="1"/>
        <v/>
      </c>
      <c r="AM191" t="str">
        <f ca="1"/>
        <v/>
      </c>
      <c r="AN191" t="str">
        <f ca="1"/>
        <v/>
      </c>
    </row>
    <row r="192" spans="1:40" x14ac:dyDescent="0.25">
      <c r="A192" s="14">
        <f t="shared" si="9"/>
        <v>188</v>
      </c>
      <c r="B192" s="97">
        <v>9500</v>
      </c>
      <c r="C192" s="39">
        <f t="shared" si="8"/>
        <v>1</v>
      </c>
      <c r="D192" s="97">
        <v>38</v>
      </c>
      <c r="E192" s="97">
        <v>7</v>
      </c>
      <c r="F192" s="98">
        <v>180638</v>
      </c>
      <c r="G192" s="98">
        <v>90</v>
      </c>
      <c r="H192" s="98">
        <v>0</v>
      </c>
      <c r="I192" s="98">
        <v>0</v>
      </c>
      <c r="J192" s="13"/>
      <c r="K192" s="13"/>
      <c r="L192" s="13"/>
      <c r="M192" s="13"/>
      <c r="V192">
        <f ca="1"/>
        <v>38</v>
      </c>
      <c r="W192">
        <f ca="1"/>
        <v>7</v>
      </c>
      <c r="X192">
        <f ca="1"/>
        <v>180638</v>
      </c>
      <c r="Y192">
        <f ca="1"/>
        <v>90</v>
      </c>
      <c r="Z192">
        <f ca="1"/>
        <v>0</v>
      </c>
      <c r="AA192">
        <f ca="1"/>
        <v>0</v>
      </c>
      <c r="AB192">
        <f ca="1"/>
        <v>38</v>
      </c>
      <c r="AC192">
        <f ca="1"/>
        <v>7</v>
      </c>
      <c r="AD192">
        <f ca="1"/>
        <v>180638</v>
      </c>
      <c r="AE192">
        <f ca="1"/>
        <v>90</v>
      </c>
      <c r="AF192">
        <f ca="1"/>
        <v>0</v>
      </c>
      <c r="AG192" t="str">
        <f ca="1"/>
        <v/>
      </c>
      <c r="AH192" t="str">
        <f ca="1"/>
        <v/>
      </c>
      <c r="AI192" t="str">
        <f ca="1"/>
        <v/>
      </c>
      <c r="AJ192" t="str">
        <f ca="1"/>
        <v/>
      </c>
      <c r="AK192" t="str">
        <f ca="1"/>
        <v/>
      </c>
      <c r="AL192" t="str">
        <f ca="1"/>
        <v/>
      </c>
      <c r="AM192" t="str">
        <f ca="1"/>
        <v/>
      </c>
      <c r="AN192" t="str">
        <f ca="1"/>
        <v/>
      </c>
    </row>
    <row r="193" spans="1:40" x14ac:dyDescent="0.25">
      <c r="A193" s="14">
        <f t="shared" si="9"/>
        <v>189</v>
      </c>
      <c r="B193" s="97">
        <v>11950</v>
      </c>
      <c r="C193" s="39">
        <f t="shared" si="8"/>
        <v>1</v>
      </c>
      <c r="D193" s="97">
        <v>40</v>
      </c>
      <c r="E193" s="97">
        <v>5</v>
      </c>
      <c r="F193" s="98">
        <v>179860</v>
      </c>
      <c r="G193" s="98">
        <v>90</v>
      </c>
      <c r="H193" s="98">
        <v>1</v>
      </c>
      <c r="I193" s="98">
        <v>0</v>
      </c>
      <c r="J193" s="13"/>
      <c r="K193" s="13"/>
      <c r="L193" s="13"/>
      <c r="M193" s="13"/>
      <c r="V193">
        <f ca="1"/>
        <v>40</v>
      </c>
      <c r="W193">
        <f ca="1"/>
        <v>5</v>
      </c>
      <c r="X193">
        <f ca="1"/>
        <v>179860</v>
      </c>
      <c r="Y193">
        <f ca="1"/>
        <v>90</v>
      </c>
      <c r="Z193">
        <f ca="1"/>
        <v>1</v>
      </c>
      <c r="AA193">
        <f ca="1"/>
        <v>0</v>
      </c>
      <c r="AB193">
        <f ca="1"/>
        <v>40</v>
      </c>
      <c r="AC193">
        <f ca="1"/>
        <v>5</v>
      </c>
      <c r="AD193">
        <f ca="1"/>
        <v>179860</v>
      </c>
      <c r="AE193">
        <f ca="1"/>
        <v>90</v>
      </c>
      <c r="AF193">
        <f ca="1"/>
        <v>1</v>
      </c>
      <c r="AG193" t="str">
        <f ca="1"/>
        <v/>
      </c>
      <c r="AH193" t="str">
        <f ca="1"/>
        <v/>
      </c>
      <c r="AI193" t="str">
        <f ca="1"/>
        <v/>
      </c>
      <c r="AJ193" t="str">
        <f ca="1"/>
        <v/>
      </c>
      <c r="AK193" t="str">
        <f ca="1"/>
        <v/>
      </c>
      <c r="AL193" t="str">
        <f ca="1"/>
        <v/>
      </c>
      <c r="AM193" t="str">
        <f ca="1"/>
        <v/>
      </c>
      <c r="AN193" t="str">
        <f ca="1"/>
        <v/>
      </c>
    </row>
    <row r="194" spans="1:40" x14ac:dyDescent="0.25">
      <c r="A194" s="14">
        <f t="shared" si="9"/>
        <v>190</v>
      </c>
      <c r="B194" s="97">
        <v>7750</v>
      </c>
      <c r="C194" s="39">
        <f t="shared" si="8"/>
        <v>1</v>
      </c>
      <c r="D194" s="97">
        <v>43</v>
      </c>
      <c r="E194" s="97">
        <v>2</v>
      </c>
      <c r="F194" s="98">
        <v>178858</v>
      </c>
      <c r="G194" s="98">
        <v>110</v>
      </c>
      <c r="H194" s="98">
        <v>0</v>
      </c>
      <c r="I194" s="98">
        <v>0</v>
      </c>
      <c r="J194" s="13"/>
      <c r="K194" s="13"/>
      <c r="L194" s="13"/>
      <c r="M194" s="13"/>
      <c r="V194">
        <f ca="1"/>
        <v>43</v>
      </c>
      <c r="W194">
        <f ca="1"/>
        <v>2</v>
      </c>
      <c r="X194">
        <f ca="1"/>
        <v>178858</v>
      </c>
      <c r="Y194">
        <f ca="1"/>
        <v>110</v>
      </c>
      <c r="Z194">
        <f ca="1"/>
        <v>0</v>
      </c>
      <c r="AA194">
        <f ca="1"/>
        <v>0</v>
      </c>
      <c r="AB194">
        <f ca="1"/>
        <v>43</v>
      </c>
      <c r="AC194">
        <f ca="1"/>
        <v>2</v>
      </c>
      <c r="AD194">
        <f ca="1"/>
        <v>178858</v>
      </c>
      <c r="AE194">
        <f ca="1"/>
        <v>110</v>
      </c>
      <c r="AF194">
        <f ca="1"/>
        <v>0</v>
      </c>
      <c r="AG194" t="str">
        <f ca="1"/>
        <v/>
      </c>
      <c r="AH194" t="str">
        <f ca="1"/>
        <v/>
      </c>
      <c r="AI194" t="str">
        <f ca="1"/>
        <v/>
      </c>
      <c r="AJ194" t="str">
        <f ca="1"/>
        <v/>
      </c>
      <c r="AK194" t="str">
        <f ca="1"/>
        <v/>
      </c>
      <c r="AL194" t="str">
        <f ca="1"/>
        <v/>
      </c>
      <c r="AM194" t="str">
        <f ca="1"/>
        <v/>
      </c>
      <c r="AN194" t="str">
        <f ca="1"/>
        <v/>
      </c>
    </row>
    <row r="195" spans="1:40" x14ac:dyDescent="0.25">
      <c r="A195" s="14">
        <f t="shared" si="9"/>
        <v>191</v>
      </c>
      <c r="B195" s="97">
        <v>11950</v>
      </c>
      <c r="C195" s="39">
        <f t="shared" si="8"/>
        <v>1</v>
      </c>
      <c r="D195" s="97">
        <v>40</v>
      </c>
      <c r="E195" s="97">
        <v>5</v>
      </c>
      <c r="F195" s="98">
        <v>161000</v>
      </c>
      <c r="G195" s="98">
        <v>69</v>
      </c>
      <c r="H195" s="98">
        <v>1</v>
      </c>
      <c r="I195" s="98">
        <v>0</v>
      </c>
      <c r="J195" s="13"/>
      <c r="K195" s="13"/>
      <c r="L195" s="13"/>
      <c r="M195" s="13"/>
      <c r="V195">
        <f ca="1"/>
        <v>40</v>
      </c>
      <c r="W195">
        <f ca="1"/>
        <v>5</v>
      </c>
      <c r="X195">
        <f ca="1"/>
        <v>161000</v>
      </c>
      <c r="Y195">
        <f ca="1"/>
        <v>69</v>
      </c>
      <c r="Z195">
        <f ca="1"/>
        <v>1</v>
      </c>
      <c r="AA195">
        <f ca="1"/>
        <v>0</v>
      </c>
      <c r="AB195">
        <f ca="1"/>
        <v>40</v>
      </c>
      <c r="AC195">
        <f ca="1"/>
        <v>5</v>
      </c>
      <c r="AD195">
        <f ca="1"/>
        <v>161000</v>
      </c>
      <c r="AE195">
        <f ca="1"/>
        <v>69</v>
      </c>
      <c r="AF195">
        <f ca="1"/>
        <v>1</v>
      </c>
      <c r="AG195" t="str">
        <f ca="1"/>
        <v/>
      </c>
      <c r="AH195" t="str">
        <f ca="1"/>
        <v/>
      </c>
      <c r="AI195" t="str">
        <f ca="1"/>
        <v/>
      </c>
      <c r="AJ195" t="str">
        <f ca="1"/>
        <v/>
      </c>
      <c r="AK195" t="str">
        <f ca="1"/>
        <v/>
      </c>
      <c r="AL195" t="str">
        <f ca="1"/>
        <v/>
      </c>
      <c r="AM195" t="str">
        <f ca="1"/>
        <v/>
      </c>
      <c r="AN195" t="str">
        <f ca="1"/>
        <v/>
      </c>
    </row>
    <row r="196" spans="1:40" x14ac:dyDescent="0.25">
      <c r="A196" s="14">
        <f t="shared" si="9"/>
        <v>192</v>
      </c>
      <c r="B196" s="97">
        <v>4350</v>
      </c>
      <c r="C196" s="39">
        <f t="shared" si="8"/>
        <v>1</v>
      </c>
      <c r="D196" s="97">
        <v>44</v>
      </c>
      <c r="E196" s="97">
        <v>1</v>
      </c>
      <c r="F196" s="98">
        <v>158320</v>
      </c>
      <c r="G196" s="98">
        <v>69</v>
      </c>
      <c r="H196" s="98">
        <v>0</v>
      </c>
      <c r="I196" s="98">
        <v>0</v>
      </c>
      <c r="J196" s="13"/>
      <c r="K196" s="13"/>
      <c r="L196" s="13"/>
      <c r="M196" s="13"/>
      <c r="V196">
        <f ca="1"/>
        <v>44</v>
      </c>
      <c r="W196">
        <f ca="1"/>
        <v>1</v>
      </c>
      <c r="X196">
        <f ca="1"/>
        <v>158320</v>
      </c>
      <c r="Y196">
        <f ca="1"/>
        <v>69</v>
      </c>
      <c r="Z196">
        <f ca="1"/>
        <v>0</v>
      </c>
      <c r="AA196">
        <f ca="1"/>
        <v>0</v>
      </c>
      <c r="AB196">
        <f ca="1"/>
        <v>44</v>
      </c>
      <c r="AC196">
        <f ca="1"/>
        <v>1</v>
      </c>
      <c r="AD196">
        <f ca="1"/>
        <v>158320</v>
      </c>
      <c r="AE196">
        <f ca="1"/>
        <v>69</v>
      </c>
      <c r="AF196">
        <f ca="1"/>
        <v>0</v>
      </c>
      <c r="AG196" t="str">
        <f ca="1"/>
        <v/>
      </c>
      <c r="AH196" t="str">
        <f ca="1"/>
        <v/>
      </c>
      <c r="AI196" t="str">
        <f ca="1"/>
        <v/>
      </c>
      <c r="AJ196" t="str">
        <f ca="1"/>
        <v/>
      </c>
      <c r="AK196" t="str">
        <f ca="1"/>
        <v/>
      </c>
      <c r="AL196" t="str">
        <f ca="1"/>
        <v/>
      </c>
      <c r="AM196" t="str">
        <f ca="1"/>
        <v/>
      </c>
      <c r="AN196" t="str">
        <f ca="1"/>
        <v/>
      </c>
    </row>
    <row r="197" spans="1:40" x14ac:dyDescent="0.25">
      <c r="A197" s="14">
        <f t="shared" si="9"/>
        <v>193</v>
      </c>
      <c r="B197" s="97">
        <v>4750</v>
      </c>
      <c r="C197" s="39">
        <f t="shared" si="8"/>
        <v>1</v>
      </c>
      <c r="D197" s="97">
        <v>44</v>
      </c>
      <c r="E197" s="97">
        <v>1</v>
      </c>
      <c r="F197" s="98">
        <v>131273</v>
      </c>
      <c r="G197" s="98">
        <v>69</v>
      </c>
      <c r="H197" s="98">
        <v>1</v>
      </c>
      <c r="I197" s="98">
        <v>0</v>
      </c>
      <c r="J197" s="13"/>
      <c r="K197" s="13"/>
      <c r="L197" s="13"/>
      <c r="M197" s="13"/>
      <c r="V197">
        <f ca="1"/>
        <v>44</v>
      </c>
      <c r="W197">
        <f ca="1"/>
        <v>1</v>
      </c>
      <c r="X197">
        <f ca="1"/>
        <v>131273</v>
      </c>
      <c r="Y197">
        <f ca="1"/>
        <v>69</v>
      </c>
      <c r="Z197">
        <f ca="1"/>
        <v>1</v>
      </c>
      <c r="AA197">
        <f ca="1"/>
        <v>0</v>
      </c>
      <c r="AB197">
        <f ca="1"/>
        <v>44</v>
      </c>
      <c r="AC197">
        <f ca="1"/>
        <v>1</v>
      </c>
      <c r="AD197">
        <f ca="1"/>
        <v>131273</v>
      </c>
      <c r="AE197">
        <f ca="1"/>
        <v>69</v>
      </c>
      <c r="AF197">
        <f ca="1"/>
        <v>1</v>
      </c>
      <c r="AG197" t="str">
        <f ca="1"/>
        <v/>
      </c>
      <c r="AH197" t="str">
        <f ca="1"/>
        <v/>
      </c>
      <c r="AI197" t="str">
        <f ca="1"/>
        <v/>
      </c>
      <c r="AJ197" t="str">
        <f ca="1"/>
        <v/>
      </c>
      <c r="AK197" t="str">
        <f ca="1"/>
        <v/>
      </c>
      <c r="AL197" t="str">
        <f ca="1"/>
        <v/>
      </c>
      <c r="AM197" t="str">
        <f ca="1"/>
        <v/>
      </c>
      <c r="AN197" t="str">
        <f ca="1"/>
        <v/>
      </c>
    </row>
    <row r="198" spans="1:40" x14ac:dyDescent="0.25">
      <c r="A198" s="14">
        <f t="shared" si="9"/>
        <v>194</v>
      </c>
      <c r="B198" s="97">
        <v>11750</v>
      </c>
      <c r="C198" s="39">
        <f t="shared" ref="C198:C204" si="10">IF(B198&lt;&gt;"",1,"")</f>
        <v>1</v>
      </c>
      <c r="D198" s="97">
        <v>40</v>
      </c>
      <c r="E198" s="97">
        <v>5</v>
      </c>
      <c r="F198" s="98">
        <v>130062</v>
      </c>
      <c r="G198" s="98">
        <v>69</v>
      </c>
      <c r="H198" s="98">
        <v>1</v>
      </c>
      <c r="I198" s="98">
        <v>0</v>
      </c>
      <c r="J198" s="13"/>
      <c r="K198" s="13"/>
      <c r="L198" s="13"/>
      <c r="M198" s="13"/>
      <c r="V198">
        <f ca="1"/>
        <v>40</v>
      </c>
      <c r="W198">
        <f ca="1"/>
        <v>5</v>
      </c>
      <c r="X198">
        <f ca="1"/>
        <v>130062</v>
      </c>
      <c r="Y198">
        <f ca="1"/>
        <v>69</v>
      </c>
      <c r="Z198">
        <f ca="1"/>
        <v>1</v>
      </c>
      <c r="AA198">
        <f ca="1"/>
        <v>0</v>
      </c>
      <c r="AB198">
        <f ca="1"/>
        <v>40</v>
      </c>
      <c r="AC198">
        <f ca="1"/>
        <v>5</v>
      </c>
      <c r="AD198">
        <f ca="1"/>
        <v>130062</v>
      </c>
      <c r="AE198">
        <f ca="1"/>
        <v>69</v>
      </c>
      <c r="AF198">
        <f ca="1"/>
        <v>1</v>
      </c>
      <c r="AG198" t="str">
        <f ca="1"/>
        <v/>
      </c>
      <c r="AH198" t="str">
        <f ca="1"/>
        <v/>
      </c>
      <c r="AI198" t="str">
        <f ca="1"/>
        <v/>
      </c>
      <c r="AJ198" t="str">
        <f ca="1"/>
        <v/>
      </c>
      <c r="AK198" t="str">
        <f ca="1"/>
        <v/>
      </c>
      <c r="AL198" t="str">
        <f ca="1"/>
        <v/>
      </c>
      <c r="AM198" t="str">
        <f ca="1"/>
        <v/>
      </c>
      <c r="AN198" t="str">
        <f ca="1"/>
        <v/>
      </c>
    </row>
    <row r="199" spans="1:40" x14ac:dyDescent="0.25">
      <c r="A199" s="14">
        <f t="shared" si="9"/>
        <v>195</v>
      </c>
      <c r="B199" s="97">
        <v>13250</v>
      </c>
      <c r="C199" s="39">
        <f t="shared" si="10"/>
        <v>1</v>
      </c>
      <c r="D199" s="97">
        <v>41</v>
      </c>
      <c r="E199" s="97">
        <v>4</v>
      </c>
      <c r="F199" s="98">
        <v>123425</v>
      </c>
      <c r="G199" s="98">
        <v>69</v>
      </c>
      <c r="H199" s="98">
        <v>1</v>
      </c>
      <c r="I199" s="98">
        <v>0</v>
      </c>
      <c r="J199" s="13"/>
      <c r="K199" s="13"/>
      <c r="L199" s="13"/>
      <c r="M199" s="13"/>
      <c r="V199">
        <f ca="1"/>
        <v>41</v>
      </c>
      <c r="W199">
        <f ca="1"/>
        <v>4</v>
      </c>
      <c r="X199">
        <f ca="1"/>
        <v>123425</v>
      </c>
      <c r="Y199">
        <f ca="1"/>
        <v>69</v>
      </c>
      <c r="Z199">
        <f ca="1"/>
        <v>1</v>
      </c>
      <c r="AA199">
        <f ca="1"/>
        <v>0</v>
      </c>
      <c r="AB199">
        <f ca="1"/>
        <v>41</v>
      </c>
      <c r="AC199">
        <f ca="1"/>
        <v>4</v>
      </c>
      <c r="AD199">
        <f ca="1"/>
        <v>123425</v>
      </c>
      <c r="AE199">
        <f ca="1"/>
        <v>69</v>
      </c>
      <c r="AF199">
        <f ca="1"/>
        <v>1</v>
      </c>
      <c r="AG199" t="str">
        <f ca="1"/>
        <v/>
      </c>
      <c r="AH199" t="str">
        <f ca="1"/>
        <v/>
      </c>
      <c r="AI199" t="str">
        <f ca="1"/>
        <v/>
      </c>
      <c r="AJ199" t="str">
        <f ca="1"/>
        <v/>
      </c>
      <c r="AK199" t="str">
        <f ca="1"/>
        <v/>
      </c>
      <c r="AL199" t="str">
        <f ca="1"/>
        <v/>
      </c>
      <c r="AM199" t="str">
        <f ca="1"/>
        <v/>
      </c>
      <c r="AN199" t="str">
        <f ca="1"/>
        <v/>
      </c>
    </row>
    <row r="200" spans="1:40" x14ac:dyDescent="0.25">
      <c r="A200" s="14">
        <f t="shared" si="9"/>
        <v>196</v>
      </c>
      <c r="B200" s="97">
        <v>11950</v>
      </c>
      <c r="C200" s="39">
        <f t="shared" si="10"/>
        <v>1</v>
      </c>
      <c r="D200" s="97">
        <v>37</v>
      </c>
      <c r="E200" s="97">
        <v>8</v>
      </c>
      <c r="F200" s="98">
        <v>118217</v>
      </c>
      <c r="G200" s="98">
        <v>110</v>
      </c>
      <c r="H200" s="98">
        <v>1</v>
      </c>
      <c r="I200" s="98">
        <v>0</v>
      </c>
      <c r="J200" s="13"/>
      <c r="K200" s="13"/>
      <c r="L200" s="13"/>
      <c r="M200" s="13"/>
      <c r="V200">
        <f ca="1"/>
        <v>37</v>
      </c>
      <c r="W200">
        <f ca="1"/>
        <v>8</v>
      </c>
      <c r="X200">
        <f ca="1"/>
        <v>118217</v>
      </c>
      <c r="Y200">
        <f ca="1"/>
        <v>110</v>
      </c>
      <c r="Z200">
        <f ca="1"/>
        <v>1</v>
      </c>
      <c r="AA200">
        <f ca="1"/>
        <v>0</v>
      </c>
      <c r="AB200">
        <f ca="1"/>
        <v>37</v>
      </c>
      <c r="AC200">
        <f ca="1"/>
        <v>8</v>
      </c>
      <c r="AD200">
        <f ca="1"/>
        <v>118217</v>
      </c>
      <c r="AE200">
        <f ca="1"/>
        <v>110</v>
      </c>
      <c r="AF200">
        <f ca="1"/>
        <v>1</v>
      </c>
      <c r="AG200" t="str">
        <f ca="1"/>
        <v/>
      </c>
      <c r="AH200" t="str">
        <f ca="1"/>
        <v/>
      </c>
      <c r="AI200" t="str">
        <f ca="1"/>
        <v/>
      </c>
      <c r="AJ200" t="str">
        <f ca="1"/>
        <v/>
      </c>
      <c r="AK200" t="str">
        <f ca="1"/>
        <v/>
      </c>
      <c r="AL200" t="str">
        <f ca="1"/>
        <v/>
      </c>
      <c r="AM200" t="str">
        <f ca="1"/>
        <v/>
      </c>
      <c r="AN200" t="str">
        <f ca="1"/>
        <v/>
      </c>
    </row>
    <row r="201" spans="1:40" x14ac:dyDescent="0.25">
      <c r="A201" s="14">
        <f t="shared" si="9"/>
        <v>197</v>
      </c>
      <c r="B201" s="97">
        <v>11900</v>
      </c>
      <c r="C201" s="39">
        <f t="shared" si="10"/>
        <v>1</v>
      </c>
      <c r="D201" s="97">
        <v>44</v>
      </c>
      <c r="E201" s="97">
        <v>1</v>
      </c>
      <c r="F201" s="98">
        <v>110000</v>
      </c>
      <c r="G201" s="98">
        <v>69</v>
      </c>
      <c r="H201" s="98">
        <v>1</v>
      </c>
      <c r="I201" s="98">
        <v>0</v>
      </c>
      <c r="J201" s="13"/>
      <c r="K201" s="13"/>
      <c r="L201" s="13"/>
      <c r="M201" s="13"/>
      <c r="V201">
        <f ca="1"/>
        <v>44</v>
      </c>
      <c r="W201">
        <f ca="1"/>
        <v>1</v>
      </c>
      <c r="X201">
        <f ca="1"/>
        <v>110000</v>
      </c>
      <c r="Y201">
        <f ca="1"/>
        <v>69</v>
      </c>
      <c r="Z201">
        <f ca="1"/>
        <v>1</v>
      </c>
      <c r="AA201">
        <f ca="1"/>
        <v>0</v>
      </c>
      <c r="AB201">
        <f ca="1"/>
        <v>44</v>
      </c>
      <c r="AC201">
        <f ca="1"/>
        <v>1</v>
      </c>
      <c r="AD201">
        <f ca="1"/>
        <v>110000</v>
      </c>
      <c r="AE201">
        <f ca="1"/>
        <v>69</v>
      </c>
      <c r="AF201">
        <f ca="1"/>
        <v>1</v>
      </c>
      <c r="AG201" t="str">
        <f ca="1"/>
        <v/>
      </c>
      <c r="AH201" t="str">
        <f ca="1"/>
        <v/>
      </c>
      <c r="AI201" t="str">
        <f ca="1"/>
        <v/>
      </c>
      <c r="AJ201" t="str">
        <f ca="1"/>
        <v/>
      </c>
      <c r="AK201" t="str">
        <f ca="1"/>
        <v/>
      </c>
      <c r="AL201" t="str">
        <f ca="1"/>
        <v/>
      </c>
      <c r="AM201" t="str">
        <f ca="1"/>
        <v/>
      </c>
      <c r="AN201" t="str">
        <f ca="1"/>
        <v/>
      </c>
    </row>
    <row r="202" spans="1:40" x14ac:dyDescent="0.25">
      <c r="A202" s="14">
        <f t="shared" si="9"/>
        <v>198</v>
      </c>
      <c r="B202" s="97">
        <v>14750</v>
      </c>
      <c r="C202" s="39">
        <f t="shared" si="10"/>
        <v>1</v>
      </c>
      <c r="D202" s="97">
        <v>39</v>
      </c>
      <c r="E202" s="97">
        <v>6</v>
      </c>
      <c r="F202" s="98">
        <v>108847</v>
      </c>
      <c r="G202" s="98">
        <v>90</v>
      </c>
      <c r="H202" s="98">
        <v>1</v>
      </c>
      <c r="I202" s="98">
        <v>0</v>
      </c>
      <c r="J202" s="13"/>
      <c r="K202" s="13"/>
      <c r="L202" s="13"/>
      <c r="M202" s="13"/>
      <c r="V202">
        <f ca="1"/>
        <v>39</v>
      </c>
      <c r="W202">
        <f ca="1"/>
        <v>6</v>
      </c>
      <c r="X202">
        <f ca="1"/>
        <v>108847</v>
      </c>
      <c r="Y202">
        <f ca="1"/>
        <v>90</v>
      </c>
      <c r="Z202">
        <f ca="1"/>
        <v>1</v>
      </c>
      <c r="AA202">
        <f ca="1"/>
        <v>0</v>
      </c>
      <c r="AB202">
        <f ca="1"/>
        <v>39</v>
      </c>
      <c r="AC202">
        <f ca="1"/>
        <v>6</v>
      </c>
      <c r="AD202">
        <f ca="1"/>
        <v>108847</v>
      </c>
      <c r="AE202">
        <f ca="1"/>
        <v>90</v>
      </c>
      <c r="AF202">
        <f ca="1"/>
        <v>1</v>
      </c>
      <c r="AG202" t="str">
        <f ca="1"/>
        <v/>
      </c>
      <c r="AH202" t="str">
        <f ca="1"/>
        <v/>
      </c>
      <c r="AI202" t="str">
        <f ca="1"/>
        <v/>
      </c>
      <c r="AJ202" t="str">
        <f ca="1"/>
        <v/>
      </c>
      <c r="AK202" t="str">
        <f ca="1"/>
        <v/>
      </c>
      <c r="AL202" t="str">
        <f ca="1"/>
        <v/>
      </c>
      <c r="AM202" t="str">
        <f ca="1"/>
        <v/>
      </c>
      <c r="AN202" t="str">
        <f ca="1"/>
        <v/>
      </c>
    </row>
    <row r="203" spans="1:40" x14ac:dyDescent="0.25">
      <c r="A203" s="14">
        <f t="shared" si="9"/>
        <v>199</v>
      </c>
      <c r="B203" s="97">
        <v>9950</v>
      </c>
      <c r="C203" s="39">
        <f t="shared" si="10"/>
        <v>1</v>
      </c>
      <c r="D203" s="97">
        <v>42</v>
      </c>
      <c r="E203" s="97">
        <v>3</v>
      </c>
      <c r="F203" s="98">
        <v>105699</v>
      </c>
      <c r="G203" s="98">
        <v>97</v>
      </c>
      <c r="H203" s="98">
        <v>1</v>
      </c>
      <c r="I203" s="98">
        <v>0</v>
      </c>
      <c r="J203" s="13"/>
      <c r="K203" s="13"/>
      <c r="L203" s="13"/>
      <c r="M203" s="13"/>
      <c r="V203">
        <f ca="1"/>
        <v>42</v>
      </c>
      <c r="W203">
        <f ca="1"/>
        <v>3</v>
      </c>
      <c r="X203">
        <f ca="1"/>
        <v>105699</v>
      </c>
      <c r="Y203">
        <f ca="1"/>
        <v>97</v>
      </c>
      <c r="Z203">
        <f ca="1"/>
        <v>1</v>
      </c>
      <c r="AA203">
        <f ca="1"/>
        <v>0</v>
      </c>
      <c r="AB203">
        <f ca="1"/>
        <v>42</v>
      </c>
      <c r="AC203">
        <f ca="1"/>
        <v>3</v>
      </c>
      <c r="AD203">
        <f ca="1"/>
        <v>105699</v>
      </c>
      <c r="AE203">
        <f ca="1"/>
        <v>97</v>
      </c>
      <c r="AF203">
        <f ca="1"/>
        <v>1</v>
      </c>
      <c r="AG203" t="str">
        <f ca="1"/>
        <v/>
      </c>
      <c r="AH203" t="str">
        <f ca="1"/>
        <v/>
      </c>
      <c r="AI203" t="str">
        <f ca="1"/>
        <v/>
      </c>
      <c r="AJ203" t="str">
        <f ca="1"/>
        <v/>
      </c>
      <c r="AK203" t="str">
        <f ca="1"/>
        <v/>
      </c>
      <c r="AL203" t="str">
        <f ca="1"/>
        <v/>
      </c>
      <c r="AM203" t="str">
        <f ca="1"/>
        <v/>
      </c>
      <c r="AN203" t="str">
        <f ca="1"/>
        <v/>
      </c>
    </row>
    <row r="204" spans="1:40" x14ac:dyDescent="0.25">
      <c r="A204" s="14" t="str">
        <f t="shared" si="9"/>
        <v/>
      </c>
      <c r="B204" s="13"/>
      <c r="C204" s="39" t="str">
        <f t="shared" si="10"/>
        <v/>
      </c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V204" t="e">
        <f ca="1"/>
        <v>#N/A</v>
      </c>
      <c r="W204" t="e">
        <f ca="1"/>
        <v>#N/A</v>
      </c>
      <c r="X204" t="e">
        <f ca="1"/>
        <v>#N/A</v>
      </c>
      <c r="Y204" t="e">
        <f ca="1"/>
        <v>#N/A</v>
      </c>
      <c r="Z204" t="e">
        <f ca="1"/>
        <v>#N/A</v>
      </c>
      <c r="AA204" t="e">
        <f ca="1"/>
        <v>#N/A</v>
      </c>
      <c r="AB204" t="e">
        <f ca="1"/>
        <v>#N/A</v>
      </c>
      <c r="AC204" t="e">
        <f ca="1"/>
        <v>#N/A</v>
      </c>
      <c r="AD204" t="e">
        <f ca="1"/>
        <v>#N/A</v>
      </c>
      <c r="AE204" t="e">
        <f ca="1"/>
        <v>#N/A</v>
      </c>
      <c r="AF204" t="e">
        <f ca="1"/>
        <v>#N/A</v>
      </c>
      <c r="AG204" t="str">
        <f ca="1"/>
        <v/>
      </c>
      <c r="AH204" t="str">
        <f ca="1"/>
        <v/>
      </c>
      <c r="AI204" t="str">
        <f ca="1"/>
        <v/>
      </c>
      <c r="AJ204" t="str">
        <f ca="1"/>
        <v/>
      </c>
      <c r="AK204" t="str">
        <f ca="1"/>
        <v/>
      </c>
      <c r="AL204" t="str">
        <f ca="1"/>
        <v/>
      </c>
      <c r="AM204" t="str">
        <f ca="1"/>
        <v/>
      </c>
      <c r="AN204" t="str">
        <f ca="1"/>
        <v/>
      </c>
    </row>
  </sheetData>
  <phoneticPr fontId="14" type="noConversion"/>
  <printOptions gridLinesSet="0"/>
  <pageMargins left="0.75" right="0.75" top="1" bottom="1" header="0.5" footer="0.5"/>
  <pageSetup orientation="portrait" horizontalDpi="360" verticalDpi="360" r:id="rId1"/>
  <headerFooter alignWithMargins="0">
    <oddHeader>&amp;A</oddHeader>
    <oddFooter>Page &amp;P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28"/>
  <sheetViews>
    <sheetView showGridLines="0" zoomScale="70" zoomScaleNormal="70" workbookViewId="0">
      <selection activeCell="J14" sqref="J14"/>
    </sheetView>
  </sheetViews>
  <sheetFormatPr defaultRowHeight="13.2" x14ac:dyDescent="0.25"/>
  <cols>
    <col min="1" max="2" width="8" customWidth="1"/>
    <col min="3" max="3" width="11.33203125" customWidth="1"/>
    <col min="4" max="4" width="9.44140625" customWidth="1"/>
    <col min="5" max="5" width="9.5546875" customWidth="1"/>
    <col min="6" max="6" width="11.88671875" customWidth="1"/>
    <col min="7" max="12" width="7.44140625" customWidth="1"/>
    <col min="13" max="13" width="1.33203125" customWidth="1"/>
  </cols>
  <sheetData>
    <row r="1" spans="1:14" ht="15.6" x14ac:dyDescent="0.3">
      <c r="A1" s="70" t="s">
        <v>13</v>
      </c>
      <c r="B1" s="59"/>
      <c r="C1" s="59"/>
      <c r="D1" s="59"/>
      <c r="E1" s="59"/>
      <c r="F1" s="71" t="str">
        <f>Data!F1</f>
        <v>Exports</v>
      </c>
      <c r="G1" s="72"/>
      <c r="H1" s="73"/>
      <c r="I1" s="74"/>
      <c r="J1" s="59"/>
      <c r="K1" s="59"/>
      <c r="L1" s="59"/>
      <c r="M1" s="60"/>
    </row>
    <row r="2" spans="1:14" x14ac:dyDescent="0.25">
      <c r="A2" s="63"/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62"/>
    </row>
    <row r="3" spans="1:14" x14ac:dyDescent="0.25">
      <c r="A3" s="63"/>
      <c r="B3" s="75">
        <v>0</v>
      </c>
      <c r="C3" s="75">
        <v>1</v>
      </c>
      <c r="D3" s="75">
        <v>2</v>
      </c>
      <c r="E3" s="75">
        <v>3</v>
      </c>
      <c r="F3" s="75">
        <v>4</v>
      </c>
      <c r="G3" s="75">
        <v>5</v>
      </c>
      <c r="H3" s="75">
        <v>6</v>
      </c>
      <c r="I3" s="75">
        <v>7</v>
      </c>
      <c r="J3" s="75">
        <v>8</v>
      </c>
      <c r="K3" s="75">
        <v>9</v>
      </c>
      <c r="L3" s="75">
        <v>10</v>
      </c>
      <c r="M3" s="62"/>
    </row>
    <row r="4" spans="1:14" x14ac:dyDescent="0.25">
      <c r="A4" s="63"/>
      <c r="B4" s="14" t="s">
        <v>14</v>
      </c>
      <c r="C4" s="15" t="str">
        <f>IF(Data!D4&lt;&gt;"",Data!D4,"")</f>
        <v>Age_08_04</v>
      </c>
      <c r="D4" s="15" t="str">
        <f>IF(Data!E4&lt;&gt;"",Data!E4,"")</f>
        <v>Mfg_Month</v>
      </c>
      <c r="E4" s="15" t="str">
        <f>IF(Data!F4&lt;&gt;"",Data!F4,"")</f>
        <v>KM</v>
      </c>
      <c r="F4" s="15" t="str">
        <f>IF(Data!G4&lt;&gt;"",Data!G4,"")</f>
        <v>HP</v>
      </c>
      <c r="G4" s="15" t="str">
        <f>IF(Data!H4&lt;&gt;"",Data!H4,"")</f>
        <v>Met_Color</v>
      </c>
      <c r="H4" s="15" t="str">
        <f>IF(Data!I4&lt;&gt;"",Data!I4,"")</f>
        <v>Automatic</v>
      </c>
      <c r="I4" s="15" t="str">
        <f>IF(Data!J4&lt;&gt;"",Data!J4,"")</f>
        <v/>
      </c>
      <c r="J4" s="15" t="str">
        <f>IF(Data!K4&lt;&gt;"",Data!K4,"")</f>
        <v/>
      </c>
      <c r="K4" s="15" t="str">
        <f>IF(Data!L4&lt;&gt;"",Data!L4,"")</f>
        <v/>
      </c>
      <c r="L4" s="15" t="str">
        <f>IF(Data!M4&lt;&gt;"",Data!M4,"")</f>
        <v/>
      </c>
      <c r="M4" s="62"/>
    </row>
    <row r="5" spans="1:14" x14ac:dyDescent="0.25">
      <c r="A5" s="76" t="s">
        <v>15</v>
      </c>
      <c r="B5" s="91">
        <f ca="1">IF(ISERROR(INDEX(B,B3+1)),"",INDEX(B,B3+1))</f>
        <v>16157.240893525397</v>
      </c>
      <c r="C5" s="91">
        <f t="shared" ref="C5:L5" ca="1" si="0">IF(ISERROR(INDEX(B,C3+1)),"",INDEX(B,C3+1))</f>
        <v>-233.17931703107661</v>
      </c>
      <c r="D5" s="91">
        <f t="shared" ca="1" si="0"/>
        <v>-130.57976264713295</v>
      </c>
      <c r="E5" s="91">
        <f t="shared" ca="1" si="0"/>
        <v>-8.3666764574370361E-3</v>
      </c>
      <c r="F5" s="91">
        <f t="shared" ca="1" si="0"/>
        <v>66.80514155362701</v>
      </c>
      <c r="G5" s="91">
        <f t="shared" ca="1" si="0"/>
        <v>512.59129340835636</v>
      </c>
      <c r="H5" s="91">
        <f t="shared" ca="1" si="0"/>
        <v>1298.7917814859902</v>
      </c>
      <c r="I5" s="91" t="str">
        <f t="shared" ca="1" si="0"/>
        <v/>
      </c>
      <c r="J5" s="91" t="str">
        <f t="shared" ca="1" si="0"/>
        <v/>
      </c>
      <c r="K5" s="91" t="str">
        <f t="shared" ca="1" si="0"/>
        <v/>
      </c>
      <c r="L5" s="91" t="str">
        <f t="shared" ca="1" si="0"/>
        <v/>
      </c>
      <c r="M5" s="62"/>
      <c r="N5" s="54" t="s">
        <v>41</v>
      </c>
    </row>
    <row r="6" spans="1:14" x14ac:dyDescent="0.25">
      <c r="A6" s="76" t="s">
        <v>16</v>
      </c>
      <c r="B6" s="42">
        <f ca="1">IF(ISERROR(INDEX(S2B,B3+1,B3+1)),"",SQRT(INDEX(S2B,B3+1,B3+1)))</f>
        <v>1002.2659319935689</v>
      </c>
      <c r="C6" s="42">
        <f t="shared" ref="C6:L6" ca="1" si="1">IF(ISERROR(INDEX(S2B,C3+1,C3+1)),"",SQRT(INDEX(S2B,C3+1,C3+1)))</f>
        <v>24.801242589968961</v>
      </c>
      <c r="D6" s="42">
        <f t="shared" ca="1" si="1"/>
        <v>48.659935394716832</v>
      </c>
      <c r="E6" s="42">
        <f t="shared" ca="1" si="1"/>
        <v>6.4994366997420706E-3</v>
      </c>
      <c r="F6" s="42">
        <f t="shared" ca="1" si="1"/>
        <v>7.3370195158427176</v>
      </c>
      <c r="G6" s="42">
        <f t="shared" ca="1" si="1"/>
        <v>380.45630035441809</v>
      </c>
      <c r="H6" s="42">
        <f t="shared" ca="1" si="1"/>
        <v>702.693606243011</v>
      </c>
      <c r="I6" s="42" t="str">
        <f t="shared" ca="1" si="1"/>
        <v/>
      </c>
      <c r="J6" s="42" t="str">
        <f t="shared" ca="1" si="1"/>
        <v/>
      </c>
      <c r="K6" s="42" t="str">
        <f t="shared" ca="1" si="1"/>
        <v/>
      </c>
      <c r="L6" s="42" t="str">
        <f t="shared" ca="1" si="1"/>
        <v/>
      </c>
      <c r="M6" s="62"/>
    </row>
    <row r="7" spans="1:14" x14ac:dyDescent="0.25">
      <c r="A7" s="76" t="s">
        <v>17</v>
      </c>
      <c r="B7" s="42">
        <f ca="1">IF(B5&lt;&gt;"",B5/B6,"")</f>
        <v>16.12071245541355</v>
      </c>
      <c r="C7" s="42">
        <f t="shared" ref="C7:L7" ca="1" si="2">IF(C5&lt;&gt;"",C5/C6,"")</f>
        <v>-9.4019207378499505</v>
      </c>
      <c r="D7" s="42">
        <f t="shared" ca="1" si="2"/>
        <v>-2.6835169752673043</v>
      </c>
      <c r="E7" s="42">
        <f t="shared" ca="1" si="2"/>
        <v>-1.287292552255962</v>
      </c>
      <c r="F7" s="42">
        <f t="shared" ca="1" si="2"/>
        <v>9.1052151911788783</v>
      </c>
      <c r="G7" s="42">
        <f t="shared" ca="1" si="2"/>
        <v>1.3473066234698874</v>
      </c>
      <c r="H7" s="42">
        <f t="shared" ca="1" si="2"/>
        <v>1.8483045383464496</v>
      </c>
      <c r="I7" s="42" t="str">
        <f t="shared" ca="1" si="2"/>
        <v/>
      </c>
      <c r="J7" s="42" t="str">
        <f t="shared" ca="1" si="2"/>
        <v/>
      </c>
      <c r="K7" s="42" t="str">
        <f t="shared" ca="1" si="2"/>
        <v/>
      </c>
      <c r="L7" s="42" t="str">
        <f t="shared" ca="1" si="2"/>
        <v/>
      </c>
      <c r="M7" s="62"/>
    </row>
    <row r="8" spans="1:14" x14ac:dyDescent="0.25">
      <c r="A8" s="76" t="s">
        <v>53</v>
      </c>
      <c r="B8" s="90">
        <f ca="1">IF(B7&lt;&gt;"",TDIST(ABS(B7),$D$15,2),"")</f>
        <v>1.5601000654420693E-37</v>
      </c>
      <c r="C8" s="90">
        <f t="shared" ref="C8:L8" ca="1" si="3">IF(C7&lt;&gt;"",TDIST(ABS(C7),$D$15,2),"")</f>
        <v>1.6461355520336018E-17</v>
      </c>
      <c r="D8" s="90">
        <f t="shared" ca="1" si="3"/>
        <v>7.9213455013394454E-3</v>
      </c>
      <c r="E8" s="90">
        <f t="shared" ca="1" si="3"/>
        <v>0.19954197320267245</v>
      </c>
      <c r="F8" s="90">
        <f t="shared" ca="1" si="3"/>
        <v>1.1229965376524494E-16</v>
      </c>
      <c r="G8" s="90">
        <f t="shared" ca="1" si="3"/>
        <v>0.17946935102981276</v>
      </c>
      <c r="H8" s="90">
        <f t="shared" ca="1" si="3"/>
        <v>6.6096269232116464E-2</v>
      </c>
      <c r="I8" s="90" t="str">
        <f t="shared" ca="1" si="3"/>
        <v/>
      </c>
      <c r="J8" s="90" t="str">
        <f t="shared" ca="1" si="3"/>
        <v/>
      </c>
      <c r="K8" s="90" t="str">
        <f t="shared" ca="1" si="3"/>
        <v/>
      </c>
      <c r="L8" s="90" t="str">
        <f t="shared" ca="1" si="3"/>
        <v/>
      </c>
      <c r="M8" s="62"/>
    </row>
    <row r="9" spans="1:14" x14ac:dyDescent="0.25">
      <c r="A9" s="7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62"/>
    </row>
    <row r="10" spans="1:14" x14ac:dyDescent="0.25">
      <c r="A10" s="89"/>
      <c r="B10" s="83" t="s">
        <v>62</v>
      </c>
      <c r="C10" s="43">
        <f ca="1">IF(C3&lt;=k,1/(1-Data!V1),"")</f>
        <v>2.0944144013838724</v>
      </c>
      <c r="D10" s="43">
        <f ca="1">IF(D3&lt;=k,1/(1-Data!W1),"")</f>
        <v>1.0327191961869275</v>
      </c>
      <c r="E10" s="43">
        <f ca="1">IF(E3&lt;=k,1/(1-Data!X1),"")</f>
        <v>2.290210404508132</v>
      </c>
      <c r="F10" s="43">
        <f ca="1">IF(F3&lt;=k,1/(1-Data!Y1),"")</f>
        <v>1.1453674184243348</v>
      </c>
      <c r="G10" s="43">
        <f ca="1">IF(G3&lt;=k,1/(1-Data!Z1),"")</f>
        <v>1.0517917568494384</v>
      </c>
      <c r="H10" s="43">
        <f ca="1">IF(H3&lt;=k,1/(1-Data!AA1),"")</f>
        <v>1.0237279382169873</v>
      </c>
      <c r="I10" s="43" t="str">
        <f ca="1">IF(I3&lt;=k,1/(1-Data!AB1),"")</f>
        <v/>
      </c>
      <c r="J10" s="43" t="str">
        <f ca="1">IF(J3&lt;=k,1/(1-Data!AC1),"")</f>
        <v/>
      </c>
      <c r="K10" s="43" t="str">
        <f ca="1">IF(K3&lt;=k,1/(1-Data!AD1),"")</f>
        <v/>
      </c>
      <c r="L10" s="43" t="str">
        <f ca="1">IF(L3&lt;=k,1/(1-Data!AE1),"")</f>
        <v/>
      </c>
      <c r="M10" s="62"/>
    </row>
    <row r="11" spans="1:14" ht="13.8" thickBot="1" x14ac:dyDescent="0.3">
      <c r="A11" s="77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62"/>
    </row>
    <row r="12" spans="1:14" ht="17.25" customHeight="1" x14ac:dyDescent="0.25">
      <c r="A12" s="58" t="s">
        <v>18</v>
      </c>
      <c r="B12" s="59"/>
      <c r="C12" s="59"/>
      <c r="D12" s="59"/>
      <c r="E12" s="59"/>
      <c r="F12" s="59"/>
      <c r="G12" s="59"/>
      <c r="H12" s="59"/>
      <c r="I12" s="59"/>
      <c r="J12" s="59"/>
      <c r="K12" s="60"/>
      <c r="L12" s="56"/>
      <c r="M12" s="62"/>
    </row>
    <row r="13" spans="1:14" ht="15.6" x14ac:dyDescent="0.35">
      <c r="A13" s="63"/>
      <c r="B13" s="15" t="s">
        <v>19</v>
      </c>
      <c r="C13" s="15" t="s">
        <v>20</v>
      </c>
      <c r="D13" s="15" t="s">
        <v>21</v>
      </c>
      <c r="E13" s="15" t="s">
        <v>22</v>
      </c>
      <c r="F13" s="80" t="s">
        <v>23</v>
      </c>
      <c r="G13" s="80" t="s">
        <v>59</v>
      </c>
      <c r="H13" s="19" t="s">
        <v>58</v>
      </c>
      <c r="I13" s="56"/>
      <c r="J13" s="56"/>
      <c r="K13" s="62"/>
      <c r="L13" s="56"/>
      <c r="M13" s="62"/>
    </row>
    <row r="14" spans="1:14" x14ac:dyDescent="0.25">
      <c r="A14" s="63"/>
      <c r="B14" s="20" t="s">
        <v>24</v>
      </c>
      <c r="C14" s="42">
        <f ca="1">DEVSQ(Yhat)</f>
        <v>1779249644.3423047</v>
      </c>
      <c r="D14" s="44">
        <f ca="1">k</f>
        <v>6</v>
      </c>
      <c r="E14" s="42">
        <f ca="1">C14/D14</f>
        <v>296541607.39038414</v>
      </c>
      <c r="F14" s="42">
        <f ca="1">E14/E15</f>
        <v>59.161711738402673</v>
      </c>
      <c r="G14" s="42">
        <f ca="1">FINV(5%,D14,D15)</f>
        <v>2.1460499238519284</v>
      </c>
      <c r="H14" s="45">
        <f ca="1">FDIST(F14,D14,D15)</f>
        <v>4.5568848182726245E-41</v>
      </c>
      <c r="I14" s="78" t="s">
        <v>57</v>
      </c>
      <c r="J14" s="42">
        <f ca="1">SQRT(MSE)</f>
        <v>2238.8368839910922</v>
      </c>
      <c r="K14" s="62"/>
      <c r="L14" s="56"/>
      <c r="M14" s="62"/>
    </row>
    <row r="15" spans="1:14" ht="13.8" thickBot="1" x14ac:dyDescent="0.3">
      <c r="A15" s="63"/>
      <c r="B15" s="20" t="s">
        <v>25</v>
      </c>
      <c r="C15" s="42">
        <f ca="1">SUMSQ(Errors)</f>
        <v>962378993.87883711</v>
      </c>
      <c r="D15" s="44">
        <f ca="1">n-k-1</f>
        <v>192</v>
      </c>
      <c r="E15" s="42">
        <f ca="1">C15/D15</f>
        <v>5012390.5931189433</v>
      </c>
      <c r="F15" s="56"/>
      <c r="G15" s="56"/>
      <c r="H15" s="56"/>
      <c r="I15" s="56"/>
      <c r="J15" s="56"/>
      <c r="K15" s="62"/>
      <c r="L15" s="56"/>
      <c r="M15" s="62"/>
    </row>
    <row r="16" spans="1:14" ht="16.2" thickBot="1" x14ac:dyDescent="0.3">
      <c r="A16" s="63"/>
      <c r="B16" s="20" t="s">
        <v>26</v>
      </c>
      <c r="C16" s="42">
        <f ca="1">DEVSQ(Y)</f>
        <v>2741628638.2211046</v>
      </c>
      <c r="D16" s="44">
        <f ca="1">n-1</f>
        <v>198</v>
      </c>
      <c r="E16" s="79">
        <f ca="1">C16/D16</f>
        <v>13846609.283944974</v>
      </c>
      <c r="F16" s="69" t="s">
        <v>27</v>
      </c>
      <c r="G16" s="46">
        <f ca="1">C14/C16</f>
        <v>0.64897543727758988</v>
      </c>
      <c r="H16" s="56"/>
      <c r="I16" s="69" t="s">
        <v>28</v>
      </c>
      <c r="J16" s="47">
        <f ca="1">1-E15/E16</f>
        <v>0.63800591969250064</v>
      </c>
      <c r="K16" s="62"/>
      <c r="L16" s="56"/>
      <c r="M16" s="62"/>
    </row>
    <row r="17" spans="1:13" ht="13.8" thickBot="1" x14ac:dyDescent="0.3">
      <c r="A17" s="65"/>
      <c r="B17" s="66"/>
      <c r="C17" s="66"/>
      <c r="D17" s="66"/>
      <c r="E17" s="66"/>
      <c r="F17" s="66"/>
      <c r="G17" s="66"/>
      <c r="H17" s="66"/>
      <c r="I17" s="66"/>
      <c r="J17" s="66"/>
      <c r="K17" s="67"/>
      <c r="L17" s="56"/>
      <c r="M17" s="62"/>
    </row>
    <row r="18" spans="1:13" ht="13.8" thickBot="1" x14ac:dyDescent="0.3">
      <c r="A18" s="63"/>
      <c r="B18" s="56"/>
      <c r="C18" s="56"/>
      <c r="D18" s="56"/>
      <c r="E18" s="56"/>
      <c r="F18" s="56"/>
      <c r="G18" s="56"/>
      <c r="H18" s="56"/>
      <c r="I18" s="56"/>
      <c r="J18" s="56"/>
      <c r="K18" s="56"/>
      <c r="L18" s="56"/>
      <c r="M18" s="62"/>
    </row>
    <row r="19" spans="1:13" x14ac:dyDescent="0.25">
      <c r="A19" s="58" t="s">
        <v>29</v>
      </c>
      <c r="B19" s="59"/>
      <c r="C19" s="59"/>
      <c r="D19" s="59"/>
      <c r="E19" s="59"/>
      <c r="F19" s="59"/>
      <c r="G19" s="59"/>
      <c r="H19" s="59"/>
      <c r="I19" s="59"/>
      <c r="J19" s="59"/>
      <c r="K19" s="59"/>
      <c r="L19" s="59"/>
      <c r="M19" s="60"/>
    </row>
    <row r="20" spans="1:13" x14ac:dyDescent="0.25">
      <c r="A20" s="68"/>
      <c r="B20" s="56"/>
      <c r="C20" s="56"/>
      <c r="D20" s="56"/>
      <c r="E20" s="56"/>
      <c r="F20" s="56"/>
      <c r="G20" s="56"/>
      <c r="H20" s="56"/>
      <c r="I20" s="56"/>
      <c r="J20" s="56"/>
      <c r="K20" s="56"/>
      <c r="L20" s="56"/>
      <c r="M20" s="62"/>
    </row>
    <row r="21" spans="1:13" x14ac:dyDescent="0.25">
      <c r="A21" s="61" t="s">
        <v>30</v>
      </c>
      <c r="B21" s="56"/>
      <c r="C21" s="15" t="str">
        <f t="shared" ref="C21:L21" si="4">C4</f>
        <v>Age_08_04</v>
      </c>
      <c r="D21" s="15" t="str">
        <f t="shared" si="4"/>
        <v>Mfg_Month</v>
      </c>
      <c r="E21" s="15" t="str">
        <f t="shared" si="4"/>
        <v>KM</v>
      </c>
      <c r="F21" s="15" t="str">
        <f t="shared" si="4"/>
        <v>HP</v>
      </c>
      <c r="G21" s="15" t="str">
        <f t="shared" si="4"/>
        <v>Met_Color</v>
      </c>
      <c r="H21" s="15" t="str">
        <f t="shared" si="4"/>
        <v>Automatic</v>
      </c>
      <c r="I21" s="15" t="str">
        <f t="shared" si="4"/>
        <v/>
      </c>
      <c r="J21" s="15" t="str">
        <f t="shared" si="4"/>
        <v/>
      </c>
      <c r="K21" s="15" t="str">
        <f t="shared" si="4"/>
        <v/>
      </c>
      <c r="L21" s="15" t="str">
        <f t="shared" si="4"/>
        <v/>
      </c>
      <c r="M21" s="62"/>
    </row>
    <row r="22" spans="1:13" x14ac:dyDescent="0.25">
      <c r="A22" s="63"/>
      <c r="B22" s="22">
        <v>1</v>
      </c>
      <c r="C22" s="9">
        <v>5</v>
      </c>
      <c r="D22" s="9">
        <v>10</v>
      </c>
      <c r="E22" s="9">
        <v>150</v>
      </c>
      <c r="F22" s="9">
        <v>2</v>
      </c>
      <c r="G22" s="9"/>
      <c r="H22" s="9"/>
      <c r="I22" s="9"/>
      <c r="J22" s="9"/>
      <c r="K22" s="9"/>
      <c r="L22" s="9"/>
      <c r="M22" s="62"/>
    </row>
    <row r="23" spans="1:13" ht="17.25" customHeight="1" x14ac:dyDescent="0.25">
      <c r="A23" s="63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62"/>
    </row>
    <row r="24" spans="1:13" ht="13.8" thickBot="1" x14ac:dyDescent="0.3">
      <c r="A24" s="63"/>
      <c r="B24" s="51" t="s">
        <v>40</v>
      </c>
      <c r="C24" s="23" t="s">
        <v>31</v>
      </c>
      <c r="D24" s="24"/>
      <c r="E24" s="25"/>
      <c r="F24" s="56"/>
      <c r="G24" s="51" t="s">
        <v>40</v>
      </c>
      <c r="H24" s="26" t="s">
        <v>32</v>
      </c>
      <c r="I24" s="27"/>
      <c r="J24" s="28"/>
      <c r="K24" s="56"/>
      <c r="L24" s="56"/>
      <c r="M24" s="62"/>
    </row>
    <row r="25" spans="1:13" ht="13.8" thickBot="1" x14ac:dyDescent="0.3">
      <c r="A25" s="63"/>
      <c r="B25" s="29">
        <v>0.95</v>
      </c>
      <c r="C25" s="48" t="str">
        <f ca="1">IF(COUNT(GX)&lt;&gt;k+1,"",MMULT(GX,B))</f>
        <v/>
      </c>
      <c r="D25" s="49" t="s">
        <v>33</v>
      </c>
      <c r="E25" s="50" t="str">
        <f t="array" aca="1" ref="E25" ca="1">IF(C25&lt;&gt;"",TINV(1-B25,D15)*SQRT(E15)*SQRT(1+MMULT(MMULT(GX,XtXinv),TRANSPOSE(GX))),"")</f>
        <v/>
      </c>
      <c r="F25" s="56"/>
      <c r="G25" s="29">
        <v>0.95</v>
      </c>
      <c r="H25" s="48" t="str">
        <f ca="1">C25</f>
        <v/>
      </c>
      <c r="I25" s="49" t="s">
        <v>33</v>
      </c>
      <c r="J25" s="50" t="str">
        <f t="array" aca="1" ref="J25" ca="1">IF(C25&lt;&gt;"",TINV(1-G25,$D$15)*SQRT($E$15)*SQRT(MMULT(MMULT(GX,XtXinv),TRANSPOSE(GX))),"")</f>
        <v/>
      </c>
      <c r="K25" s="56"/>
      <c r="L25" s="56"/>
      <c r="M25" s="62"/>
    </row>
    <row r="26" spans="1:13" ht="13.8" thickBot="1" x14ac:dyDescent="0.3">
      <c r="A26" s="65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7"/>
    </row>
    <row r="28" spans="1:13" x14ac:dyDescent="0.25">
      <c r="B28" s="64" t="s">
        <v>54</v>
      </c>
    </row>
  </sheetData>
  <phoneticPr fontId="14" type="noConversion"/>
  <printOptions headings="1" gridLinesSet="0"/>
  <pageMargins left="0.75" right="0.75" top="1" bottom="1" header="0.5" footer="0.5"/>
  <pageSetup orientation="landscape" horizontalDpi="360" verticalDpi="360" copies="0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203"/>
  <sheetViews>
    <sheetView showGridLines="0" zoomScale="40" zoomScaleNormal="40" workbookViewId="0">
      <selection activeCell="Q28" sqref="Q28"/>
    </sheetView>
  </sheetViews>
  <sheetFormatPr defaultRowHeight="13.2" x14ac:dyDescent="0.25"/>
  <cols>
    <col min="1" max="1" width="1.88671875" customWidth="1"/>
    <col min="2" max="2" width="8.33203125" customWidth="1"/>
    <col min="3" max="3" width="5.5546875" hidden="1" customWidth="1"/>
    <col min="4" max="4" width="6.109375" hidden="1" customWidth="1"/>
    <col min="5" max="5" width="2" customWidth="1"/>
    <col min="7" max="7" width="12.5546875" customWidth="1"/>
    <col min="13" max="13" width="8" customWidth="1"/>
    <col min="14" max="14" width="7.33203125" hidden="1" customWidth="1"/>
    <col min="15" max="15" width="2" hidden="1" customWidth="1"/>
    <col min="16" max="16" width="7" hidden="1" customWidth="1"/>
    <col min="18" max="18" width="5" customWidth="1"/>
    <col min="20" max="20" width="9.109375" hidden="1" customWidth="1"/>
    <col min="21" max="21" width="0" hidden="1" customWidth="1"/>
  </cols>
  <sheetData>
    <row r="1" spans="1:21" ht="15.6" x14ac:dyDescent="0.3">
      <c r="A1" s="41" t="s">
        <v>34</v>
      </c>
      <c r="H1" s="93" t="str">
        <f>Data!F1</f>
        <v>Exports</v>
      </c>
      <c r="I1" s="94"/>
      <c r="J1" s="95"/>
      <c r="N1" t="str">
        <f>Data!B4</f>
        <v>Price</v>
      </c>
      <c r="O1" s="37">
        <v>1</v>
      </c>
      <c r="P1">
        <f t="array" aca="1" ref="P1:P100" ca="1">IF(O1=1,Y,OFFSET(MatX,0,O1-1,n,1))</f>
        <v>13500</v>
      </c>
      <c r="T1">
        <f ca="1">3*s</f>
        <v>6716.5106519732763</v>
      </c>
      <c r="U1">
        <v>3</v>
      </c>
    </row>
    <row r="2" spans="1:21" x14ac:dyDescent="0.25">
      <c r="A2" s="18"/>
      <c r="N2" t="str">
        <f t="array" ref="N2:N11">IF(TRANSPOSE(Data!D4:M4)=0,"",TRANSPOSE(Data!D4:M4))</f>
        <v>Age_08_04</v>
      </c>
      <c r="P2">
        <f ca="1"/>
        <v>13750</v>
      </c>
      <c r="T2">
        <f ca="1">-T1</f>
        <v>-6716.5106519732763</v>
      </c>
      <c r="U2">
        <v>-3</v>
      </c>
    </row>
    <row r="3" spans="1:21" ht="16.5" customHeight="1" thickBot="1" x14ac:dyDescent="0.3">
      <c r="B3" s="30" t="s">
        <v>36</v>
      </c>
      <c r="C3" s="82" t="s">
        <v>46</v>
      </c>
      <c r="D3" s="82" t="s">
        <v>47</v>
      </c>
      <c r="E3" s="30"/>
      <c r="N3" t="str">
        <v>Mfg_Month</v>
      </c>
      <c r="P3">
        <f ca="1"/>
        <v>13950</v>
      </c>
    </row>
    <row r="4" spans="1:21" ht="13.8" thickBot="1" x14ac:dyDescent="0.3">
      <c r="B4" s="14">
        <f t="array" aca="1" ref="B4:B203" ca="1">IF(ROW(B1:B200)&gt;n,"",Errors)</f>
        <v>-2120.2563485449573</v>
      </c>
      <c r="C4" s="57">
        <f t="array" aca="1" ref="C4" ca="1">IF(ISNUMBER(B4),(SUM(IF(B4&gt;Errors,1,0))+1+(SUM(IF(B4=Errors,1,0))-1)/2)/(n+1),"")</f>
        <v>0.125</v>
      </c>
      <c r="D4" s="57">
        <f ca="1">IF(C4&lt;&gt;"",NORMSINV(C4),"")</f>
        <v>-1.1503493803760083</v>
      </c>
      <c r="E4" s="56"/>
      <c r="G4" s="31" t="s">
        <v>37</v>
      </c>
      <c r="H4" s="52">
        <f t="array" aca="1" ref="H4" ca="1">SUMSQ(OFFSET(B4:B103,0,0,n-1)-OFFSET(B4:B103,1,0,n-1))/SUMSQ(Errors)</f>
        <v>1.4754226796481</v>
      </c>
      <c r="N4" t="str">
        <v>KM</v>
      </c>
      <c r="P4">
        <f ca="1"/>
        <v>14950</v>
      </c>
    </row>
    <row r="5" spans="1:21" x14ac:dyDescent="0.25">
      <c r="B5" s="14">
        <f ca="1"/>
        <v>-1653.132727798009</v>
      </c>
      <c r="C5" s="57">
        <f t="array" aca="1" ref="C5" ca="1">IF(ISNUMBER(B5),(SUM(IF(B5&gt;Errors,1,0))+1+(SUM(IF(B5=Errors,1,0))-1)/2)/(n+1),"")</f>
        <v>0.21</v>
      </c>
      <c r="D5" s="57">
        <f t="shared" ref="D5:D68" ca="1" si="0">IF(C5&lt;&gt;"",NORMSINV(C5),"")</f>
        <v>-0.80642124701824058</v>
      </c>
      <c r="E5" s="56"/>
      <c r="N5" t="str">
        <v>HP</v>
      </c>
      <c r="P5">
        <f ca="1"/>
        <v>13750</v>
      </c>
    </row>
    <row r="6" spans="1:21" x14ac:dyDescent="0.25">
      <c r="B6" s="14">
        <f ca="1"/>
        <v>-1611.7910124739938</v>
      </c>
      <c r="C6" s="57">
        <f t="array" aca="1" ref="C6" ca="1">IF(ISNUMBER(B6),(SUM(IF(B6&gt;Errors,1,0))+1+(SUM(IF(B6=Errors,1,0))-1)/2)/(n+1),"")</f>
        <v>0.22</v>
      </c>
      <c r="D6" s="57">
        <f t="shared" ca="1" si="0"/>
        <v>-0.77219321418868503</v>
      </c>
      <c r="E6" s="56"/>
      <c r="N6" t="str">
        <v>Met_Color</v>
      </c>
      <c r="P6">
        <f ca="1"/>
        <v>12950</v>
      </c>
    </row>
    <row r="7" spans="1:21" x14ac:dyDescent="0.25">
      <c r="B7" s="14">
        <f ca="1"/>
        <v>158.61741794307272</v>
      </c>
      <c r="C7" s="57">
        <f t="array" aca="1" ref="C7" ca="1">IF(ISNUMBER(B7),(SUM(IF(B7&gt;Errors,1,0))+1+(SUM(IF(B7=Errors,1,0))-1)/2)/(n+1),"")</f>
        <v>0.57499999999999996</v>
      </c>
      <c r="D7" s="57">
        <f t="shared" ca="1" si="0"/>
        <v>0.18911842627279243</v>
      </c>
      <c r="E7" s="56"/>
      <c r="N7" t="str">
        <v>Automatic</v>
      </c>
      <c r="P7">
        <f ca="1"/>
        <v>16900</v>
      </c>
    </row>
    <row r="8" spans="1:21" x14ac:dyDescent="0.25">
      <c r="B8" s="14">
        <f ca="1"/>
        <v>-710.46779086680544</v>
      </c>
      <c r="C8" s="57">
        <f t="array" aca="1" ref="C8" ca="1">IF(ISNUMBER(B8),(SUM(IF(B8&gt;Errors,1,0))+1+(SUM(IF(B8=Errors,1,0))-1)/2)/(n+1),"")</f>
        <v>0.375</v>
      </c>
      <c r="D8" s="57">
        <f t="shared" ca="1" si="0"/>
        <v>-0.3186393639643752</v>
      </c>
      <c r="E8" s="56"/>
      <c r="N8" t="str">
        <v/>
      </c>
      <c r="P8">
        <f ca="1"/>
        <v>18600</v>
      </c>
    </row>
    <row r="9" spans="1:21" x14ac:dyDescent="0.25">
      <c r="B9" s="14">
        <f ca="1"/>
        <v>-1117.018461806585</v>
      </c>
      <c r="C9" s="57">
        <f t="array" aca="1" ref="C9" ca="1">IF(ISNUMBER(B9),(SUM(IF(B9&gt;Errors,1,0))+1+(SUM(IF(B9=Errors,1,0))-1)/2)/(n+1),"")</f>
        <v>0.315</v>
      </c>
      <c r="D9" s="57">
        <f t="shared" ca="1" si="0"/>
        <v>-0.48172684958473044</v>
      </c>
      <c r="E9" s="56"/>
      <c r="N9" t="str">
        <v/>
      </c>
      <c r="P9">
        <f ca="1"/>
        <v>21500</v>
      </c>
    </row>
    <row r="10" spans="1:21" x14ac:dyDescent="0.25">
      <c r="B10" s="14">
        <f ca="1"/>
        <v>2088.6132019527158</v>
      </c>
      <c r="C10" s="57">
        <f t="array" aca="1" ref="C10" ca="1">IF(ISNUMBER(B10),(SUM(IF(B10&gt;Errors,1,0))+1+(SUM(IF(B10=Errors,1,0))-1)/2)/(n+1),"")</f>
        <v>0.84</v>
      </c>
      <c r="D10" s="57">
        <f t="shared" ca="1" si="0"/>
        <v>0.9944578832097497</v>
      </c>
      <c r="E10" s="56"/>
      <c r="N10" t="str">
        <v/>
      </c>
      <c r="P10">
        <f ca="1"/>
        <v>12950</v>
      </c>
    </row>
    <row r="11" spans="1:21" x14ac:dyDescent="0.25">
      <c r="B11" s="14">
        <f ca="1"/>
        <v>3939.7625817919507</v>
      </c>
      <c r="C11" s="57">
        <f t="array" aca="1" ref="C11" ca="1">IF(ISNUMBER(B11),(SUM(IF(B11&gt;Errors,1,0))+1+(SUM(IF(B11=Errors,1,0))-1)/2)/(n+1),"")</f>
        <v>0.95499999999999996</v>
      </c>
      <c r="D11" s="57">
        <f t="shared" ca="1" si="0"/>
        <v>1.6953977102721358</v>
      </c>
      <c r="E11" s="56"/>
      <c r="N11" t="str">
        <v/>
      </c>
      <c r="P11">
        <f ca="1"/>
        <v>20950</v>
      </c>
    </row>
    <row r="12" spans="1:21" x14ac:dyDescent="0.25">
      <c r="B12" s="14">
        <f ca="1"/>
        <v>-239.68440988840302</v>
      </c>
      <c r="C12" s="57">
        <f t="array" aca="1" ref="C12" ca="1">IF(ISNUMBER(B12),(SUM(IF(B12&gt;Errors,1,0))+1+(SUM(IF(B12=Errors,1,0))-1)/2)/(n+1),"")</f>
        <v>0.48</v>
      </c>
      <c r="D12" s="57">
        <f t="shared" ca="1" si="0"/>
        <v>-5.0153583464733656E-2</v>
      </c>
      <c r="E12" s="56"/>
      <c r="P12">
        <f ca="1"/>
        <v>19950</v>
      </c>
    </row>
    <row r="13" spans="1:21" x14ac:dyDescent="0.25">
      <c r="B13" s="14">
        <f ca="1"/>
        <v>-552.6851127104128</v>
      </c>
      <c r="C13" s="57">
        <f t="array" aca="1" ref="C13" ca="1">IF(ISNUMBER(B13),(SUM(IF(B13&gt;Errors,1,0))+1+(SUM(IF(B13=Errors,1,0))-1)/2)/(n+1),"")</f>
        <v>0.43</v>
      </c>
      <c r="D13" s="57">
        <f t="shared" ca="1" si="0"/>
        <v>-0.17637416478086138</v>
      </c>
      <c r="E13" s="56"/>
      <c r="M13" s="81" t="s">
        <v>60</v>
      </c>
      <c r="P13">
        <f ca="1"/>
        <v>19600</v>
      </c>
    </row>
    <row r="14" spans="1:21" x14ac:dyDescent="0.25">
      <c r="B14" s="14">
        <f ca="1"/>
        <v>-896.48303684037819</v>
      </c>
      <c r="C14" s="57">
        <f t="array" aca="1" ref="C14" ca="1">IF(ISNUMBER(B14),(SUM(IF(B14&gt;Errors,1,0))+1+(SUM(IF(B14=Errors,1,0))-1)/2)/(n+1),"")</f>
        <v>0.35499999999999998</v>
      </c>
      <c r="D14" s="57">
        <f t="shared" ca="1" si="0"/>
        <v>-0.3718560893850747</v>
      </c>
      <c r="E14" s="56"/>
      <c r="P14">
        <f ca="1"/>
        <v>21500</v>
      </c>
      <c r="S14" s="7" t="s">
        <v>35</v>
      </c>
    </row>
    <row r="15" spans="1:21" x14ac:dyDescent="0.25">
      <c r="B15" s="14">
        <f ca="1"/>
        <v>-2102.6349477108051</v>
      </c>
      <c r="C15" s="57">
        <f t="array" aca="1" ref="C15" ca="1">IF(ISNUMBER(B15),(SUM(IF(B15&gt;Errors,1,0))+1+(SUM(IF(B15=Errors,1,0))-1)/2)/(n+1),"")</f>
        <v>0.14000000000000001</v>
      </c>
      <c r="D15" s="57">
        <f t="shared" ca="1" si="0"/>
        <v>-1.0803193408149565</v>
      </c>
      <c r="E15" s="56"/>
      <c r="P15">
        <f ca="1"/>
        <v>22500</v>
      </c>
      <c r="S15" s="38" t="s">
        <v>42</v>
      </c>
    </row>
    <row r="16" spans="1:21" x14ac:dyDescent="0.25">
      <c r="B16" s="14">
        <f ca="1"/>
        <v>-2240.3920963793644</v>
      </c>
      <c r="C16" s="57">
        <f t="array" aca="1" ref="C16" ca="1">IF(ISNUMBER(B16),(SUM(IF(B16&gt;Errors,1,0))+1+(SUM(IF(B16=Errors,1,0))-1)/2)/(n+1),"")</f>
        <v>0.1</v>
      </c>
      <c r="D16" s="57">
        <f t="shared" ca="1" si="0"/>
        <v>-1.2815515655446006</v>
      </c>
      <c r="E16" s="56"/>
      <c r="P16">
        <f ca="1"/>
        <v>22000</v>
      </c>
    </row>
    <row r="17" spans="2:16" x14ac:dyDescent="0.25">
      <c r="B17" s="14">
        <f ca="1"/>
        <v>-314.26745345144809</v>
      </c>
      <c r="C17" s="57">
        <f t="array" aca="1" ref="C17" ca="1">IF(ISNUMBER(B17),(SUM(IF(B17&gt;Errors,1,0))+1+(SUM(IF(B17=Errors,1,0))-1)/2)/(n+1),"")</f>
        <v>0.46</v>
      </c>
      <c r="D17" s="57">
        <f t="shared" ca="1" si="0"/>
        <v>-0.10043372051146976</v>
      </c>
      <c r="E17" s="56"/>
      <c r="P17">
        <f ca="1"/>
        <v>22750</v>
      </c>
    </row>
    <row r="18" spans="2:16" x14ac:dyDescent="0.25">
      <c r="B18" s="14">
        <f ca="1"/>
        <v>881.46157658022639</v>
      </c>
      <c r="C18" s="57">
        <f t="array" aca="1" ref="C18" ca="1">IF(ISNUMBER(B18),(SUM(IF(B18&gt;Errors,1,0))+1+(SUM(IF(B18=Errors,1,0))-1)/2)/(n+1),"")</f>
        <v>0.745</v>
      </c>
      <c r="D18" s="57">
        <f t="shared" ca="1" si="0"/>
        <v>0.65883769273618775</v>
      </c>
      <c r="E18" s="56"/>
      <c r="P18">
        <f ca="1"/>
        <v>17950</v>
      </c>
    </row>
    <row r="19" spans="2:16" x14ac:dyDescent="0.25">
      <c r="B19" s="14">
        <f ca="1"/>
        <v>354.87476841994066</v>
      </c>
      <c r="C19" s="57">
        <f t="array" aca="1" ref="C19" ca="1">IF(ISNUMBER(B19),(SUM(IF(B19&gt;Errors,1,0))+1+(SUM(IF(B19=Errors,1,0))-1)/2)/(n+1),"")</f>
        <v>0.61499999999999999</v>
      </c>
      <c r="D19" s="57">
        <f t="shared" ca="1" si="0"/>
        <v>0.29237489622680418</v>
      </c>
      <c r="E19" s="56"/>
      <c r="P19">
        <f ca="1"/>
        <v>16750</v>
      </c>
    </row>
    <row r="20" spans="2:16" x14ac:dyDescent="0.25">
      <c r="B20" s="14">
        <f ca="1"/>
        <v>925.16643319641662</v>
      </c>
      <c r="C20" s="57">
        <f t="array" aca="1" ref="C20" ca="1">IF(ISNUMBER(B20),(SUM(IF(B20&gt;Errors,1,0))+1+(SUM(IF(B20=Errors,1,0))-1)/2)/(n+1),"")</f>
        <v>0.755</v>
      </c>
      <c r="D20" s="57">
        <f t="shared" ca="1" si="0"/>
        <v>0.69030882393303394</v>
      </c>
      <c r="E20" s="56"/>
      <c r="P20">
        <f ca="1"/>
        <v>16950</v>
      </c>
    </row>
    <row r="21" spans="2:16" x14ac:dyDescent="0.25">
      <c r="B21" s="14">
        <f ca="1"/>
        <v>884.81446068701553</v>
      </c>
      <c r="C21" s="57">
        <f t="array" aca="1" ref="C21" ca="1">IF(ISNUMBER(B21),(SUM(IF(B21&gt;Errors,1,0))+1+(SUM(IF(B21=Errors,1,0))-1)/2)/(n+1),"")</f>
        <v>0.75</v>
      </c>
      <c r="D21" s="57">
        <f t="shared" ca="1" si="0"/>
        <v>0.67448975019608193</v>
      </c>
      <c r="E21" s="56"/>
      <c r="P21">
        <f ca="1"/>
        <v>15950</v>
      </c>
    </row>
    <row r="22" spans="2:16" x14ac:dyDescent="0.25">
      <c r="B22" s="14">
        <f ca="1"/>
        <v>229.59235842712951</v>
      </c>
      <c r="C22" s="57">
        <f t="array" aca="1" ref="C22" ca="1">IF(ISNUMBER(B22),(SUM(IF(B22&gt;Errors,1,0))+1+(SUM(IF(B22=Errors,1,0))-1)/2)/(n+1),"")</f>
        <v>0.59499999999999997</v>
      </c>
      <c r="D22" s="57">
        <f t="shared" ca="1" si="0"/>
        <v>0.2404260311423079</v>
      </c>
      <c r="E22" s="56"/>
      <c r="P22">
        <f ca="1"/>
        <v>16950</v>
      </c>
    </row>
    <row r="23" spans="2:16" x14ac:dyDescent="0.25">
      <c r="B23" s="14">
        <f ca="1"/>
        <v>857.19197116516261</v>
      </c>
      <c r="C23" s="57">
        <f t="array" aca="1" ref="C23" ca="1">IF(ISNUMBER(B23),(SUM(IF(B23&gt;Errors,1,0))+1+(SUM(IF(B23=Errors,1,0))-1)/2)/(n+1),"")</f>
        <v>0.73499999999999999</v>
      </c>
      <c r="D23" s="57">
        <f t="shared" ca="1" si="0"/>
        <v>0.62800601443756987</v>
      </c>
      <c r="E23" s="56"/>
      <c r="P23">
        <f ca="1"/>
        <v>15950</v>
      </c>
    </row>
    <row r="24" spans="2:16" x14ac:dyDescent="0.25">
      <c r="B24" s="14">
        <f ca="1"/>
        <v>-115.1896298488391</v>
      </c>
      <c r="C24" s="57">
        <f t="array" aca="1" ref="C24" ca="1">IF(ISNUMBER(B24),(SUM(IF(B24&gt;Errors,1,0))+1+(SUM(IF(B24=Errors,1,0))-1)/2)/(n+1),"")</f>
        <v>0.505</v>
      </c>
      <c r="D24" s="57">
        <f t="shared" ca="1" si="0"/>
        <v>1.2533469508069276E-2</v>
      </c>
      <c r="E24" s="56"/>
      <c r="P24">
        <f ca="1"/>
        <v>16950</v>
      </c>
    </row>
    <row r="25" spans="2:16" x14ac:dyDescent="0.25">
      <c r="B25" s="14">
        <f ca="1"/>
        <v>-202.74007155682921</v>
      </c>
      <c r="C25" s="57">
        <f t="array" aca="1" ref="C25" ca="1">IF(ISNUMBER(B25),(SUM(IF(B25&gt;Errors,1,0))+1+(SUM(IF(B25=Errors,1,0))-1)/2)/(n+1),"")</f>
        <v>0.48499999999999999</v>
      </c>
      <c r="D25" s="57">
        <f t="shared" ca="1" si="0"/>
        <v>-3.7608287661255936E-2</v>
      </c>
      <c r="E25" s="56"/>
      <c r="P25">
        <f ca="1"/>
        <v>16250</v>
      </c>
    </row>
    <row r="26" spans="2:16" x14ac:dyDescent="0.25">
      <c r="B26" s="14">
        <f ca="1"/>
        <v>-415.02421602679533</v>
      </c>
      <c r="C26" s="57">
        <f t="array" aca="1" ref="C26" ca="1">IF(ISNUMBER(B26),(SUM(IF(B26&gt;Errors,1,0))+1+(SUM(IF(B26=Errors,1,0))-1)/2)/(n+1),"")</f>
        <v>0.45500000000000002</v>
      </c>
      <c r="D26" s="57">
        <f t="shared" ca="1" si="0"/>
        <v>-0.11303854064456513</v>
      </c>
      <c r="E26" s="56"/>
      <c r="P26">
        <f ca="1"/>
        <v>15950</v>
      </c>
    </row>
    <row r="27" spans="2:16" x14ac:dyDescent="0.25">
      <c r="B27" s="14">
        <f ca="1"/>
        <v>383.09624773170799</v>
      </c>
      <c r="C27" s="57">
        <f t="array" aca="1" ref="C27" ca="1">IF(ISNUMBER(B27),(SUM(IF(B27&gt;Errors,1,0))+1+(SUM(IF(B27=Errors,1,0))-1)/2)/(n+1),"")</f>
        <v>0.62</v>
      </c>
      <c r="D27" s="57">
        <f t="shared" ca="1" si="0"/>
        <v>0.30548078809939727</v>
      </c>
      <c r="E27" s="56"/>
      <c r="P27">
        <f ca="1"/>
        <v>17495</v>
      </c>
    </row>
    <row r="28" spans="2:16" x14ac:dyDescent="0.25">
      <c r="B28" s="14">
        <f ca="1"/>
        <v>-267.90949394714698</v>
      </c>
      <c r="C28" s="57">
        <f t="array" aca="1" ref="C28" ca="1">IF(ISNUMBER(B28),(SUM(IF(B28&gt;Errors,1,0))+1+(SUM(IF(B28=Errors,1,0))-1)/2)/(n+1),"")</f>
        <v>0.47499999999999998</v>
      </c>
      <c r="D28" s="57">
        <f t="shared" ca="1" si="0"/>
        <v>-6.2706777943213846E-2</v>
      </c>
      <c r="E28" s="56"/>
      <c r="P28">
        <f ca="1"/>
        <v>15750</v>
      </c>
    </row>
    <row r="29" spans="2:16" x14ac:dyDescent="0.25">
      <c r="B29" s="14">
        <f ca="1"/>
        <v>-956.24478566466496</v>
      </c>
      <c r="C29" s="57">
        <f t="array" aca="1" ref="C29" ca="1">IF(ISNUMBER(B29),(SUM(IF(B29&gt;Errors,1,0))+1+(SUM(IF(B29=Errors,1,0))-1)/2)/(n+1),"")</f>
        <v>0.33500000000000002</v>
      </c>
      <c r="D29" s="57">
        <f t="shared" ca="1" si="0"/>
        <v>-0.42614800784127821</v>
      </c>
      <c r="E29" s="56"/>
      <c r="P29">
        <f ca="1"/>
        <v>16950</v>
      </c>
    </row>
    <row r="30" spans="2:16" x14ac:dyDescent="0.25">
      <c r="B30" s="14">
        <f ca="1"/>
        <v>844.94921611130485</v>
      </c>
      <c r="C30" s="57">
        <f t="array" aca="1" ref="C30" ca="1">IF(ISNUMBER(B30),(SUM(IF(B30&gt;Errors,1,0))+1+(SUM(IF(B30=Errors,1,0))-1)/2)/(n+1),"")</f>
        <v>0.73</v>
      </c>
      <c r="D30" s="57">
        <f t="shared" ca="1" si="0"/>
        <v>0.61281299101662734</v>
      </c>
      <c r="E30" s="56"/>
      <c r="P30">
        <f ca="1"/>
        <v>17950</v>
      </c>
    </row>
    <row r="31" spans="2:16" x14ac:dyDescent="0.25">
      <c r="B31" s="14">
        <f ca="1"/>
        <v>-637.37260785821491</v>
      </c>
      <c r="C31" s="57">
        <f t="array" aca="1" ref="C31" ca="1">IF(ISNUMBER(B31),(SUM(IF(B31&gt;Errors,1,0))+1+(SUM(IF(B31=Errors,1,0))-1)/2)/(n+1),"")</f>
        <v>0.40500000000000003</v>
      </c>
      <c r="D31" s="57">
        <f t="shared" ca="1" si="0"/>
        <v>-0.2404260311423079</v>
      </c>
      <c r="E31" s="56"/>
      <c r="P31">
        <f ca="1"/>
        <v>12950</v>
      </c>
    </row>
    <row r="32" spans="2:16" x14ac:dyDescent="0.25">
      <c r="B32" s="14">
        <f ca="1"/>
        <v>995.43505786562673</v>
      </c>
      <c r="C32" s="57">
        <f t="array" aca="1" ref="C32" ca="1">IF(ISNUMBER(B32),(SUM(IF(B32&gt;Errors,1,0))+1+(SUM(IF(B32=Errors,1,0))-1)/2)/(n+1),"")</f>
        <v>0.76</v>
      </c>
      <c r="D32" s="57">
        <f t="shared" ca="1" si="0"/>
        <v>0.7063025628400873</v>
      </c>
      <c r="E32" s="56"/>
      <c r="P32">
        <f ca="1"/>
        <v>15750</v>
      </c>
    </row>
    <row r="33" spans="2:16" x14ac:dyDescent="0.25">
      <c r="B33" s="14">
        <f ca="1"/>
        <v>1411.5074829539481</v>
      </c>
      <c r="C33" s="57">
        <f t="array" aca="1" ref="C33" ca="1">IF(ISNUMBER(B33),(SUM(IF(B33&gt;Errors,1,0))+1+(SUM(IF(B33=Errors,1,0))-1)/2)/(n+1),"")</f>
        <v>0.78</v>
      </c>
      <c r="D33" s="57">
        <f t="shared" ca="1" si="0"/>
        <v>0.77219321418868503</v>
      </c>
      <c r="E33" s="56"/>
      <c r="P33">
        <f ca="1"/>
        <v>15950</v>
      </c>
    </row>
    <row r="34" spans="2:16" x14ac:dyDescent="0.25">
      <c r="B34" s="14">
        <f ca="1"/>
        <v>-2833.83657768581</v>
      </c>
      <c r="C34" s="57">
        <f t="array" aca="1" ref="C34" ca="1">IF(ISNUMBER(B34),(SUM(IF(B34&gt;Errors,1,0))+1+(SUM(IF(B34=Errors,1,0))-1)/2)/(n+1),"")</f>
        <v>6.5000000000000002E-2</v>
      </c>
      <c r="D34" s="57">
        <f t="shared" ca="1" si="0"/>
        <v>-1.5141018876192833</v>
      </c>
      <c r="E34" s="56"/>
      <c r="P34">
        <f ca="1"/>
        <v>14950</v>
      </c>
    </row>
    <row r="35" spans="2:16" x14ac:dyDescent="0.25">
      <c r="B35" s="14">
        <f ca="1"/>
        <v>-539.10990920810036</v>
      </c>
      <c r="C35" s="57">
        <f t="array" aca="1" ref="C35" ca="1">IF(ISNUMBER(B35),(SUM(IF(B35&gt;Errors,1,0))+1+(SUM(IF(B35=Errors,1,0))-1)/2)/(n+1),"")</f>
        <v>0.435</v>
      </c>
      <c r="D35" s="57">
        <f t="shared" ca="1" si="0"/>
        <v>-0.16365848623314128</v>
      </c>
      <c r="E35" s="56"/>
      <c r="P35">
        <f ca="1"/>
        <v>15500</v>
      </c>
    </row>
    <row r="36" spans="2:16" x14ac:dyDescent="0.25">
      <c r="B36" s="14">
        <f ca="1"/>
        <v>126.28984034526002</v>
      </c>
      <c r="C36" s="57">
        <f t="array" aca="1" ref="C36" ca="1">IF(ISNUMBER(B36),(SUM(IF(B36&gt;Errors,1,0))+1+(SUM(IF(B36=Errors,1,0))-1)/2)/(n+1),"")</f>
        <v>0.56000000000000005</v>
      </c>
      <c r="D36" s="57">
        <f t="shared" ca="1" si="0"/>
        <v>0.15096921549677741</v>
      </c>
      <c r="E36" s="56"/>
      <c r="P36">
        <f ca="1"/>
        <v>15750</v>
      </c>
    </row>
    <row r="37" spans="2:16" x14ac:dyDescent="0.25">
      <c r="B37" s="14">
        <f ca="1"/>
        <v>-949.68694955112005</v>
      </c>
      <c r="C37" s="57">
        <f t="array" aca="1" ref="C37" ca="1">IF(ISNUMBER(B37),(SUM(IF(B37&gt;Errors,1,0))+1+(SUM(IF(B37=Errors,1,0))-1)/2)/(n+1),"")</f>
        <v>0.34</v>
      </c>
      <c r="D37" s="57">
        <f t="shared" ca="1" si="0"/>
        <v>-0.41246312944140484</v>
      </c>
      <c r="E37" s="56"/>
      <c r="P37">
        <f ca="1"/>
        <v>15950</v>
      </c>
    </row>
    <row r="38" spans="2:16" x14ac:dyDescent="0.25">
      <c r="B38" s="14">
        <f ca="1"/>
        <v>-740.57481907850706</v>
      </c>
      <c r="C38" s="57">
        <f t="array" aca="1" ref="C38" ca="1">IF(ISNUMBER(B38),(SUM(IF(B38&gt;Errors,1,0))+1+(SUM(IF(B38=Errors,1,0))-1)/2)/(n+1),"")</f>
        <v>0.37</v>
      </c>
      <c r="D38" s="57">
        <f t="shared" ca="1" si="0"/>
        <v>-0.33185334643681658</v>
      </c>
      <c r="E38" s="56"/>
      <c r="P38">
        <f ca="1"/>
        <v>14950</v>
      </c>
    </row>
    <row r="39" spans="2:16" x14ac:dyDescent="0.25">
      <c r="B39" s="14">
        <f ca="1"/>
        <v>449.148044780497</v>
      </c>
      <c r="C39" s="57">
        <f t="array" aca="1" ref="C39" ca="1">IF(ISNUMBER(B39),(SUM(IF(B39&gt;Errors,1,0))+1+(SUM(IF(B39=Errors,1,0))-1)/2)/(n+1),"")</f>
        <v>0.64</v>
      </c>
      <c r="D39" s="57">
        <f t="shared" ca="1" si="0"/>
        <v>0.35845879325119384</v>
      </c>
      <c r="E39" s="56"/>
      <c r="P39">
        <f ca="1"/>
        <v>15750</v>
      </c>
    </row>
    <row r="40" spans="2:16" x14ac:dyDescent="0.25">
      <c r="B40" s="14">
        <f ca="1"/>
        <v>395.94831416268789</v>
      </c>
      <c r="C40" s="57">
        <f t="array" aca="1" ref="C40" ca="1">IF(ISNUMBER(B40),(SUM(IF(B40&gt;Errors,1,0))+1+(SUM(IF(B40=Errors,1,0))-1)/2)/(n+1),"")</f>
        <v>0.63</v>
      </c>
      <c r="D40" s="57">
        <f t="shared" ca="1" si="0"/>
        <v>0.33185334643681658</v>
      </c>
      <c r="E40" s="56"/>
      <c r="P40">
        <f ca="1"/>
        <v>14750</v>
      </c>
    </row>
    <row r="41" spans="2:16" x14ac:dyDescent="0.25">
      <c r="B41" s="14">
        <f ca="1"/>
        <v>-1447.3422348751119</v>
      </c>
      <c r="C41" s="57">
        <f t="array" aca="1" ref="C41" ca="1">IF(ISNUMBER(B41),(SUM(IF(B41&gt;Errors,1,0))+1+(SUM(IF(B41=Errors,1,0))-1)/2)/(n+1),"")</f>
        <v>0.255</v>
      </c>
      <c r="D41" s="57">
        <f t="shared" ca="1" si="0"/>
        <v>-0.65883769273618775</v>
      </c>
      <c r="E41" s="56"/>
      <c r="P41">
        <f ca="1"/>
        <v>13950</v>
      </c>
    </row>
    <row r="42" spans="2:16" x14ac:dyDescent="0.25">
      <c r="B42" s="14">
        <f ca="1"/>
        <v>404.30653799643187</v>
      </c>
      <c r="C42" s="57">
        <f t="array" aca="1" ref="C42" ca="1">IF(ISNUMBER(B42),(SUM(IF(B42&gt;Errors,1,0))+1+(SUM(IF(B42=Errors,1,0))-1)/2)/(n+1),"")</f>
        <v>0.63500000000000001</v>
      </c>
      <c r="D42" s="57">
        <f t="shared" ca="1" si="0"/>
        <v>0.34512553147047242</v>
      </c>
      <c r="E42" s="56"/>
      <c r="P42">
        <f ca="1"/>
        <v>16750</v>
      </c>
    </row>
    <row r="43" spans="2:16" x14ac:dyDescent="0.25">
      <c r="B43" s="14">
        <f ca="1"/>
        <v>-577.93588592583183</v>
      </c>
      <c r="C43" s="57">
        <f t="array" aca="1" ref="C43" ca="1">IF(ISNUMBER(B43),(SUM(IF(B43&gt;Errors,1,0))+1+(SUM(IF(B43=Errors,1,0))-1)/2)/(n+1),"")</f>
        <v>0.42</v>
      </c>
      <c r="D43" s="57">
        <f t="shared" ca="1" si="0"/>
        <v>-0.20189347914185088</v>
      </c>
      <c r="E43" s="56"/>
      <c r="P43">
        <f ca="1"/>
        <v>13950</v>
      </c>
    </row>
    <row r="44" spans="2:16" x14ac:dyDescent="0.25">
      <c r="B44" s="14">
        <f ca="1"/>
        <v>-1710.5564800996654</v>
      </c>
      <c r="C44" s="57">
        <f t="array" aca="1" ref="C44" ca="1">IF(ISNUMBER(B44),(SUM(IF(B44&gt;Errors,1,0))+1+(SUM(IF(B44=Errors,1,0))-1)/2)/(n+1),"")</f>
        <v>0.20499999999999999</v>
      </c>
      <c r="D44" s="57">
        <f t="shared" ca="1" si="0"/>
        <v>-0.82389363033855767</v>
      </c>
      <c r="E44" s="56"/>
      <c r="P44">
        <f ca="1"/>
        <v>16950</v>
      </c>
    </row>
    <row r="45" spans="2:16" x14ac:dyDescent="0.25">
      <c r="B45" s="14">
        <f ca="1"/>
        <v>1048.0919162126283</v>
      </c>
      <c r="C45" s="57">
        <f t="array" aca="1" ref="C45" ca="1">IF(ISNUMBER(B45),(SUM(IF(B45&gt;Errors,1,0))+1+(SUM(IF(B45=Errors,1,0))-1)/2)/(n+1),"")</f>
        <v>0.76500000000000001</v>
      </c>
      <c r="D45" s="57">
        <f t="shared" ca="1" si="0"/>
        <v>0.72247905192806261</v>
      </c>
      <c r="E45" s="56"/>
      <c r="P45">
        <f ca="1"/>
        <v>16950</v>
      </c>
    </row>
    <row r="46" spans="2:16" x14ac:dyDescent="0.25">
      <c r="B46" s="14">
        <f ca="1"/>
        <v>-1728.1097673073691</v>
      </c>
      <c r="C46" s="57">
        <f t="array" aca="1" ref="C46" ca="1">IF(ISNUMBER(B46),(SUM(IF(B46&gt;Errors,1,0))+1+(SUM(IF(B46=Errors,1,0))-1)/2)/(n+1),"")</f>
        <v>0.19500000000000001</v>
      </c>
      <c r="D46" s="57">
        <f t="shared" ca="1" si="0"/>
        <v>-0.85961736424191304</v>
      </c>
      <c r="E46" s="56"/>
      <c r="P46">
        <f ca="1"/>
        <v>19000</v>
      </c>
    </row>
    <row r="47" spans="2:16" x14ac:dyDescent="0.25">
      <c r="B47" s="14">
        <f ca="1"/>
        <v>2783.3310499769177</v>
      </c>
      <c r="C47" s="57">
        <f t="array" aca="1" ref="C47" ca="1">IF(ISNUMBER(B47),(SUM(IF(B47&gt;Errors,1,0))+1+(SUM(IF(B47=Errors,1,0))-1)/2)/(n+1),"")</f>
        <v>0.92</v>
      </c>
      <c r="D47" s="57">
        <f t="shared" ca="1" si="0"/>
        <v>1.4050715603096329</v>
      </c>
      <c r="E47" s="56"/>
      <c r="P47">
        <f ca="1"/>
        <v>17950</v>
      </c>
    </row>
    <row r="48" spans="2:16" x14ac:dyDescent="0.25">
      <c r="B48" s="14">
        <f ca="1"/>
        <v>2185.3780453083837</v>
      </c>
      <c r="C48" s="57">
        <f t="array" aca="1" ref="C48" ca="1">IF(ISNUMBER(B48),(SUM(IF(B48&gt;Errors,1,0))+1+(SUM(IF(B48=Errors,1,0))-1)/2)/(n+1),"")</f>
        <v>0.85</v>
      </c>
      <c r="D48" s="57">
        <f t="shared" ca="1" si="0"/>
        <v>1.0364333894937898</v>
      </c>
      <c r="E48" s="56"/>
      <c r="P48">
        <f ca="1"/>
        <v>15800</v>
      </c>
    </row>
    <row r="49" spans="2:16" x14ac:dyDescent="0.25">
      <c r="B49" s="14">
        <f ca="1"/>
        <v>4202.0191072589751</v>
      </c>
      <c r="C49" s="57">
        <f t="array" aca="1" ref="C49" ca="1">IF(ISNUMBER(B49),(SUM(IF(B49&gt;Errors,1,0))+1+(SUM(IF(B49=Errors,1,0))-1)/2)/(n+1),"")</f>
        <v>0.96</v>
      </c>
      <c r="D49" s="57">
        <f t="shared" ca="1" si="0"/>
        <v>1.7506860712521695</v>
      </c>
      <c r="E49" s="56"/>
      <c r="P49">
        <f ca="1"/>
        <v>17950</v>
      </c>
    </row>
    <row r="50" spans="2:16" x14ac:dyDescent="0.25">
      <c r="B50" s="14">
        <f ca="1"/>
        <v>3011.1301527707474</v>
      </c>
      <c r="C50" s="57">
        <f t="array" aca="1" ref="C50" ca="1">IF(ISNUMBER(B50),(SUM(IF(B50&gt;Errors,1,0))+1+(SUM(IF(B50=Errors,1,0))-1)/2)/(n+1),"")</f>
        <v>0.93</v>
      </c>
      <c r="D50" s="57">
        <f t="shared" ca="1" si="0"/>
        <v>1.4757910281791713</v>
      </c>
      <c r="E50" s="56"/>
      <c r="P50">
        <f ca="1"/>
        <v>21950</v>
      </c>
    </row>
    <row r="51" spans="2:16" x14ac:dyDescent="0.25">
      <c r="B51" s="14">
        <f ca="1"/>
        <v>-155.70621905569169</v>
      </c>
      <c r="C51" s="57">
        <f t="array" aca="1" ref="C51" ca="1">IF(ISNUMBER(B51),(SUM(IF(B51&gt;Errors,1,0))+1+(SUM(IF(B51=Errors,1,0))-1)/2)/(n+1),"")</f>
        <v>0.495</v>
      </c>
      <c r="D51" s="57">
        <f t="shared" ca="1" si="0"/>
        <v>-1.2533469508069276E-2</v>
      </c>
      <c r="E51" s="56"/>
      <c r="P51">
        <f ca="1"/>
        <v>17950</v>
      </c>
    </row>
    <row r="52" spans="2:16" x14ac:dyDescent="0.25">
      <c r="B52" s="14">
        <f ca="1"/>
        <v>2438.2269774157794</v>
      </c>
      <c r="C52" s="57">
        <f t="array" aca="1" ref="C52" ca="1">IF(ISNUMBER(B52),(SUM(IF(B52&gt;Errors,1,0))+1+(SUM(IF(B52=Errors,1,0))-1)/2)/(n+1),"")</f>
        <v>0.89</v>
      </c>
      <c r="D52" s="57">
        <f t="shared" ca="1" si="0"/>
        <v>1.2265281200366105</v>
      </c>
      <c r="E52" s="56"/>
      <c r="P52">
        <f ca="1"/>
        <v>15750</v>
      </c>
    </row>
    <row r="53" spans="2:16" x14ac:dyDescent="0.25">
      <c r="B53" s="14">
        <f ca="1"/>
        <v>486.9823575846749</v>
      </c>
      <c r="C53" s="57">
        <f t="array" aca="1" ref="C53" ca="1">IF(ISNUMBER(B53),(SUM(IF(B53&gt;Errors,1,0))+1+(SUM(IF(B53=Errors,1,0))-1)/2)/(n+1),"")</f>
        <v>0.65500000000000003</v>
      </c>
      <c r="D53" s="57">
        <f t="shared" ca="1" si="0"/>
        <v>0.39885506564233691</v>
      </c>
      <c r="E53" s="56"/>
      <c r="P53">
        <f ca="1"/>
        <v>20500</v>
      </c>
    </row>
    <row r="54" spans="2:16" x14ac:dyDescent="0.25">
      <c r="B54" s="14">
        <f ca="1"/>
        <v>2358.0825836299882</v>
      </c>
      <c r="C54" s="57">
        <f t="array" aca="1" ref="C54" ca="1">IF(ISNUMBER(B54),(SUM(IF(B54&gt;Errors,1,0))+1+(SUM(IF(B54=Errors,1,0))-1)/2)/(n+1),"")</f>
        <v>0.86499999999999999</v>
      </c>
      <c r="D54" s="57">
        <f t="shared" ca="1" si="0"/>
        <v>1.1030625561995977</v>
      </c>
      <c r="E54" s="56"/>
      <c r="P54">
        <f ca="1"/>
        <v>21950</v>
      </c>
    </row>
    <row r="55" spans="2:16" x14ac:dyDescent="0.25">
      <c r="B55" s="14">
        <f ca="1"/>
        <v>464.80797348737178</v>
      </c>
      <c r="C55" s="57">
        <f t="array" aca="1" ref="C55" ca="1">IF(ISNUMBER(B55),(SUM(IF(B55&gt;Errors,1,0))+1+(SUM(IF(B55=Errors,1,0))-1)/2)/(n+1),"")</f>
        <v>0.65</v>
      </c>
      <c r="D55" s="57">
        <f t="shared" ca="1" si="0"/>
        <v>0.38532046640756784</v>
      </c>
      <c r="E55" s="56"/>
      <c r="P55">
        <f ca="1"/>
        <v>15500</v>
      </c>
    </row>
    <row r="56" spans="2:16" x14ac:dyDescent="0.25">
      <c r="B56" s="14">
        <f ca="1"/>
        <v>2628.064923635684</v>
      </c>
      <c r="C56" s="57">
        <f t="array" aca="1" ref="C56" ca="1">IF(ISNUMBER(B56),(SUM(IF(B56&gt;Errors,1,0))+1+(SUM(IF(B56=Errors,1,0))-1)/2)/(n+1),"")</f>
        <v>0.9</v>
      </c>
      <c r="D56" s="57">
        <f t="shared" ca="1" si="0"/>
        <v>1.2815515655446006</v>
      </c>
      <c r="E56" s="56"/>
      <c r="P56">
        <f ca="1"/>
        <v>13250</v>
      </c>
    </row>
    <row r="57" spans="2:16" x14ac:dyDescent="0.25">
      <c r="B57" s="14">
        <f ca="1"/>
        <v>-49.886541281717655</v>
      </c>
      <c r="C57" s="57">
        <f t="array" aca="1" ref="C57" ca="1">IF(ISNUMBER(B57),(SUM(IF(B57&gt;Errors,1,0))+1+(SUM(IF(B57=Errors,1,0))-1)/2)/(n+1),"")</f>
        <v>0.52</v>
      </c>
      <c r="D57" s="57">
        <f t="shared" ca="1" si="0"/>
        <v>5.0153583464733656E-2</v>
      </c>
      <c r="E57" s="56"/>
      <c r="P57">
        <f ca="1"/>
        <v>15250</v>
      </c>
    </row>
    <row r="58" spans="2:16" x14ac:dyDescent="0.25">
      <c r="B58" s="14">
        <f ca="1"/>
        <v>-2019.1463042794021</v>
      </c>
      <c r="C58" s="57">
        <f t="array" aca="1" ref="C58" ca="1">IF(ISNUMBER(B58),(SUM(IF(B58&gt;Errors,1,0))+1+(SUM(IF(B58=Errors,1,0))-1)/2)/(n+1),"")</f>
        <v>0.155</v>
      </c>
      <c r="D58" s="57">
        <f t="shared" ca="1" si="0"/>
        <v>-1.0152220332170301</v>
      </c>
      <c r="E58" s="56"/>
      <c r="P58">
        <f ca="1"/>
        <v>15250</v>
      </c>
    </row>
    <row r="59" spans="2:16" x14ac:dyDescent="0.25">
      <c r="B59" s="14">
        <f ca="1"/>
        <v>-2793.5135691748328</v>
      </c>
      <c r="C59" s="57">
        <f t="array" aca="1" ref="C59" ca="1">IF(ISNUMBER(B59),(SUM(IF(B59&gt;Errors,1,0))+1+(SUM(IF(B59=Errors,1,0))-1)/2)/(n+1),"")</f>
        <v>7.0000000000000007E-2</v>
      </c>
      <c r="D59" s="57">
        <f t="shared" ca="1" si="0"/>
        <v>-1.4757910281791702</v>
      </c>
      <c r="E59" s="56"/>
      <c r="P59">
        <f ca="1"/>
        <v>18950</v>
      </c>
    </row>
    <row r="60" spans="2:16" x14ac:dyDescent="0.25">
      <c r="B60" s="14">
        <f ca="1"/>
        <v>156.10415560444562</v>
      </c>
      <c r="C60" s="57">
        <f t="array" aca="1" ref="C60" ca="1">IF(ISNUMBER(B60),(SUM(IF(B60&gt;Errors,1,0))+1+(SUM(IF(B60=Errors,1,0))-1)/2)/(n+1),"")</f>
        <v>0.56999999999999995</v>
      </c>
      <c r="D60" s="57">
        <f t="shared" ca="1" si="0"/>
        <v>0.17637416478086121</v>
      </c>
      <c r="E60" s="56"/>
      <c r="P60">
        <f ca="1"/>
        <v>15999</v>
      </c>
    </row>
    <row r="61" spans="2:16" x14ac:dyDescent="0.25">
      <c r="B61" s="14">
        <f ca="1"/>
        <v>-50.851955219502997</v>
      </c>
      <c r="C61" s="57">
        <f t="array" aca="1" ref="C61" ca="1">IF(ISNUMBER(B61),(SUM(IF(B61&gt;Errors,1,0))+1+(SUM(IF(B61=Errors,1,0))-1)/2)/(n+1),"")</f>
        <v>0.51500000000000001</v>
      </c>
      <c r="D61" s="57">
        <f t="shared" ca="1" si="0"/>
        <v>3.7608287661255936E-2</v>
      </c>
      <c r="E61" s="56"/>
      <c r="P61">
        <f ca="1"/>
        <v>14950</v>
      </c>
    </row>
    <row r="62" spans="2:16" x14ac:dyDescent="0.25">
      <c r="B62" s="14">
        <f ca="1"/>
        <v>633.92290093345582</v>
      </c>
      <c r="C62" s="57">
        <f t="array" aca="1" ref="C62" ca="1">IF(ISNUMBER(B62),(SUM(IF(B62&gt;Errors,1,0))+1+(SUM(IF(B62=Errors,1,0))-1)/2)/(n+1),"")</f>
        <v>0.68</v>
      </c>
      <c r="D62" s="57">
        <f t="shared" ca="1" si="0"/>
        <v>0.46769879911450835</v>
      </c>
      <c r="E62" s="56"/>
      <c r="P62">
        <f ca="1"/>
        <v>16500</v>
      </c>
    </row>
    <row r="63" spans="2:16" x14ac:dyDescent="0.25">
      <c r="B63" s="14">
        <f ca="1"/>
        <v>-306.39691094185582</v>
      </c>
      <c r="C63" s="57">
        <f t="array" aca="1" ref="C63" ca="1">IF(ISNUMBER(B63),(SUM(IF(B63&gt;Errors,1,0))+1+(SUM(IF(B63=Errors,1,0))-1)/2)/(n+1),"")</f>
        <v>0.46500000000000002</v>
      </c>
      <c r="D63" s="57">
        <f t="shared" ca="1" si="0"/>
        <v>-8.7844837895871677E-2</v>
      </c>
      <c r="E63" s="56"/>
      <c r="P63">
        <f ca="1"/>
        <v>18750</v>
      </c>
    </row>
    <row r="64" spans="2:16" x14ac:dyDescent="0.25">
      <c r="B64" s="14">
        <f ca="1"/>
        <v>-1320.694854325282</v>
      </c>
      <c r="C64" s="57">
        <f t="array" aca="1" ref="C64" ca="1">IF(ISNUMBER(B64),(SUM(IF(B64&gt;Errors,1,0))+1+(SUM(IF(B64=Errors,1,0))-1)/2)/(n+1),"")</f>
        <v>0.28000000000000003</v>
      </c>
      <c r="D64" s="57">
        <f t="shared" ca="1" si="0"/>
        <v>-0.58284150727121631</v>
      </c>
      <c r="E64" s="56"/>
      <c r="P64">
        <f ca="1"/>
        <v>17950</v>
      </c>
    </row>
    <row r="65" spans="2:16" x14ac:dyDescent="0.25">
      <c r="B65" s="14">
        <f ca="1"/>
        <v>384.56160195563643</v>
      </c>
      <c r="C65" s="57">
        <f t="array" aca="1" ref="C65" ca="1">IF(ISNUMBER(B65),(SUM(IF(B65&gt;Errors,1,0))+1+(SUM(IF(B65=Errors,1,0))-1)/2)/(n+1),"")</f>
        <v>0.625</v>
      </c>
      <c r="D65" s="57">
        <f t="shared" ca="1" si="0"/>
        <v>0.3186393639643752</v>
      </c>
      <c r="E65" s="56"/>
      <c r="P65">
        <f ca="1"/>
        <v>17950</v>
      </c>
    </row>
    <row r="66" spans="2:16" x14ac:dyDescent="0.25">
      <c r="B66" s="14">
        <f ca="1"/>
        <v>2527.0724198854969</v>
      </c>
      <c r="C66" s="57">
        <f t="array" aca="1" ref="C66" ca="1">IF(ISNUMBER(B66),(SUM(IF(B66&gt;Errors,1,0))+1+(SUM(IF(B66=Errors,1,0))-1)/2)/(n+1),"")</f>
        <v>0.89500000000000002</v>
      </c>
      <c r="D66" s="57">
        <f t="shared" ca="1" si="0"/>
        <v>1.2535654384704511</v>
      </c>
      <c r="E66" s="56"/>
      <c r="P66">
        <f ca="1"/>
        <v>16950</v>
      </c>
    </row>
    <row r="67" spans="2:16" x14ac:dyDescent="0.25">
      <c r="B67" s="14">
        <f ca="1"/>
        <v>1599.0967358061444</v>
      </c>
      <c r="C67" s="57">
        <f t="array" aca="1" ref="C67" ca="1">IF(ISNUMBER(B67),(SUM(IF(B67&gt;Errors,1,0))+1+(SUM(IF(B67=Errors,1,0))-1)/2)/(n+1),"")</f>
        <v>0.79</v>
      </c>
      <c r="D67" s="57">
        <f t="shared" ca="1" si="0"/>
        <v>0.80642124701824058</v>
      </c>
      <c r="E67" s="56"/>
      <c r="P67">
        <f ca="1"/>
        <v>18950</v>
      </c>
    </row>
    <row r="68" spans="2:16" x14ac:dyDescent="0.25">
      <c r="B68" s="14">
        <f ca="1"/>
        <v>2153.8915059783449</v>
      </c>
      <c r="C68" s="57">
        <f t="array" aca="1" ref="C68" ca="1">IF(ISNUMBER(B68),(SUM(IF(B68&gt;Errors,1,0))+1+(SUM(IF(B68=Errors,1,0))-1)/2)/(n+1),"")</f>
        <v>0.84499999999999997</v>
      </c>
      <c r="D68" s="57">
        <f t="shared" ca="1" si="0"/>
        <v>1.0152220332170301</v>
      </c>
      <c r="E68" s="56"/>
      <c r="P68">
        <f ca="1"/>
        <v>14950</v>
      </c>
    </row>
    <row r="69" spans="2:16" x14ac:dyDescent="0.25">
      <c r="B69" s="14">
        <f ca="1"/>
        <v>177.57083858197802</v>
      </c>
      <c r="C69" s="57">
        <f t="array" aca="1" ref="C69" ca="1">IF(ISNUMBER(B69),(SUM(IF(B69&gt;Errors,1,0))+1+(SUM(IF(B69=Errors,1,0))-1)/2)/(n+1),"")</f>
        <v>0.57999999999999996</v>
      </c>
      <c r="D69" s="57">
        <f t="shared" ref="D69:D203" ca="1" si="1">IF(C69&lt;&gt;"",NORMSINV(C69),"")</f>
        <v>0.20189347914185077</v>
      </c>
      <c r="E69" s="56"/>
      <c r="P69">
        <f ca="1"/>
        <v>22250</v>
      </c>
    </row>
    <row r="70" spans="2:16" x14ac:dyDescent="0.25">
      <c r="B70" s="14">
        <f ca="1"/>
        <v>2372.8303357184304</v>
      </c>
      <c r="C70" s="57">
        <f t="array" aca="1" ref="C70" ca="1">IF(ISNUMBER(B70),(SUM(IF(B70&gt;Errors,1,0))+1+(SUM(IF(B70=Errors,1,0))-1)/2)/(n+1),"")</f>
        <v>0.87</v>
      </c>
      <c r="D70" s="57">
        <f t="shared" ca="1" si="1"/>
        <v>1.1263911290388013</v>
      </c>
      <c r="E70" s="56"/>
      <c r="P70">
        <f ca="1"/>
        <v>15950</v>
      </c>
    </row>
    <row r="71" spans="2:16" x14ac:dyDescent="0.25">
      <c r="B71" s="14">
        <f ca="1"/>
        <v>-1379.2615895273411</v>
      </c>
      <c r="C71" s="57">
        <f t="array" aca="1" ref="C71" ca="1">IF(ISNUMBER(B71),(SUM(IF(B71&gt;Errors,1,0))+1+(SUM(IF(B71=Errors,1,0))-1)/2)/(n+1),"")</f>
        <v>0.27500000000000002</v>
      </c>
      <c r="D71" s="57">
        <f t="shared" ca="1" si="1"/>
        <v>-0.59776012604247841</v>
      </c>
      <c r="P71">
        <f ca="1"/>
        <v>15950</v>
      </c>
    </row>
    <row r="72" spans="2:16" x14ac:dyDescent="0.25">
      <c r="B72" s="14">
        <f ca="1"/>
        <v>5048.9248996925344</v>
      </c>
      <c r="C72" s="57">
        <f t="array" aca="1" ref="C72" ca="1">IF(ISNUMBER(B72),(SUM(IF(B72&gt;Errors,1,0))+1+(SUM(IF(B72=Errors,1,0))-1)/2)/(n+1),"")</f>
        <v>0.98</v>
      </c>
      <c r="D72" s="57">
        <f t="shared" ca="1" si="1"/>
        <v>2.0537489106318221</v>
      </c>
      <c r="P72">
        <f ca="1"/>
        <v>12995</v>
      </c>
    </row>
    <row r="73" spans="2:16" x14ac:dyDescent="0.25">
      <c r="B73" s="14">
        <f ca="1"/>
        <v>-77.160633043024063</v>
      </c>
      <c r="C73" s="57">
        <f t="array" aca="1" ref="C73" ca="1">IF(ISNUMBER(B73),(SUM(IF(B73&gt;Errors,1,0))+1+(SUM(IF(B73=Errors,1,0))-1)/2)/(n+1),"")</f>
        <v>0.51</v>
      </c>
      <c r="D73" s="57">
        <f t="shared" ca="1" si="1"/>
        <v>2.506890825871106E-2</v>
      </c>
      <c r="P73">
        <f ca="1"/>
        <v>18950</v>
      </c>
    </row>
    <row r="74" spans="2:16" x14ac:dyDescent="0.25">
      <c r="B74" s="14">
        <f ca="1"/>
        <v>226.34592508614151</v>
      </c>
      <c r="C74" s="57">
        <f t="array" aca="1" ref="C74" ca="1">IF(ISNUMBER(B74),(SUM(IF(B74&gt;Errors,1,0))+1+(SUM(IF(B74=Errors,1,0))-1)/2)/(n+1),"")</f>
        <v>0.59</v>
      </c>
      <c r="D74" s="57">
        <f t="shared" ca="1" si="1"/>
        <v>0.22754497664114934</v>
      </c>
      <c r="P74">
        <f ca="1"/>
        <v>15750</v>
      </c>
    </row>
    <row r="75" spans="2:16" x14ac:dyDescent="0.25">
      <c r="B75" s="14">
        <f ca="1"/>
        <v>-2318.3227907897435</v>
      </c>
      <c r="C75" s="57">
        <f t="array" aca="1" ref="C75" ca="1">IF(ISNUMBER(B75),(SUM(IF(B75&gt;Errors,1,0))+1+(SUM(IF(B75=Errors,1,0))-1)/2)/(n+1),"")</f>
        <v>8.5000000000000006E-2</v>
      </c>
      <c r="D75" s="57">
        <f t="shared" ca="1" si="1"/>
        <v>-1.3722038089987272</v>
      </c>
      <c r="P75">
        <f ca="1"/>
        <v>19950</v>
      </c>
    </row>
    <row r="76" spans="2:16" x14ac:dyDescent="0.25">
      <c r="B76" s="14">
        <f ca="1"/>
        <v>2354.62444774705</v>
      </c>
      <c r="C76" s="57">
        <f t="array" aca="1" ref="C76" ca="1">IF(ISNUMBER(B76),(SUM(IF(B76&gt;Errors,1,0))+1+(SUM(IF(B76=Errors,1,0))-1)/2)/(n+1),"")</f>
        <v>0.86</v>
      </c>
      <c r="D76" s="57">
        <f t="shared" ca="1" si="1"/>
        <v>1.0803193408149565</v>
      </c>
      <c r="P76">
        <f ca="1"/>
        <v>16950</v>
      </c>
    </row>
    <row r="77" spans="2:16" x14ac:dyDescent="0.25">
      <c r="B77" s="14">
        <f ca="1"/>
        <v>-494.84282308540787</v>
      </c>
      <c r="C77" s="57">
        <f t="array" aca="1" ref="C77" ca="1">IF(ISNUMBER(B77),(SUM(IF(B77&gt;Errors,1,0))+1+(SUM(IF(B77=Errors,1,0))-1)/2)/(n+1),"")</f>
        <v>0.44</v>
      </c>
      <c r="D77" s="57">
        <f t="shared" ca="1" si="1"/>
        <v>-0.15096921549677725</v>
      </c>
      <c r="P77">
        <f ca="1"/>
        <v>18750</v>
      </c>
    </row>
    <row r="78" spans="2:16" x14ac:dyDescent="0.25">
      <c r="B78" s="14">
        <f ca="1"/>
        <v>3860.3801664896782</v>
      </c>
      <c r="C78" s="57">
        <f t="array" aca="1" ref="C78" ca="1">IF(ISNUMBER(B78),(SUM(IF(B78&gt;Errors,1,0))+1+(SUM(IF(B78=Errors,1,0))-1)/2)/(n+1),"")</f>
        <v>0.95</v>
      </c>
      <c r="D78" s="57">
        <f t="shared" ca="1" si="1"/>
        <v>1.6448536269514715</v>
      </c>
      <c r="P78">
        <f ca="1"/>
        <v>18450</v>
      </c>
    </row>
    <row r="79" spans="2:16" x14ac:dyDescent="0.25">
      <c r="B79" s="14">
        <f ca="1"/>
        <v>-165.20889883839482</v>
      </c>
      <c r="C79" s="57">
        <f t="array" aca="1" ref="C79" ca="1">IF(ISNUMBER(B79),(SUM(IF(B79&gt;Errors,1,0))+1+(SUM(IF(B79=Errors,1,0))-1)/2)/(n+1),"")</f>
        <v>0.49</v>
      </c>
      <c r="D79" s="57">
        <f t="shared" ca="1" si="1"/>
        <v>-2.506890825871106E-2</v>
      </c>
      <c r="P79">
        <f ca="1"/>
        <v>16895</v>
      </c>
    </row>
    <row r="80" spans="2:16" x14ac:dyDescent="0.25">
      <c r="B80" s="14">
        <f ca="1"/>
        <v>2432.7130427985212</v>
      </c>
      <c r="C80" s="57">
        <f t="array" aca="1" ref="C80" ca="1">IF(ISNUMBER(B80),(SUM(IF(B80&gt;Errors,1,0))+1+(SUM(IF(B80=Errors,1,0))-1)/2)/(n+1),"")</f>
        <v>0.88500000000000001</v>
      </c>
      <c r="D80" s="57">
        <f t="shared" ca="1" si="1"/>
        <v>1.2003588580308597</v>
      </c>
      <c r="P80">
        <f ca="1"/>
        <v>14900</v>
      </c>
    </row>
    <row r="81" spans="2:16" x14ac:dyDescent="0.25">
      <c r="B81" s="14">
        <f ca="1"/>
        <v>2220.0385346062376</v>
      </c>
      <c r="C81" s="57">
        <f t="array" aca="1" ref="C81" ca="1">IF(ISNUMBER(B81),(SUM(IF(B81&gt;Errors,1,0))+1+(SUM(IF(B81=Errors,1,0))-1)/2)/(n+1),"")</f>
        <v>0.85499999999999998</v>
      </c>
      <c r="D81" s="57">
        <f t="shared" ca="1" si="1"/>
        <v>1.058121617684777</v>
      </c>
      <c r="P81">
        <f ca="1"/>
        <v>18950</v>
      </c>
    </row>
    <row r="82" spans="2:16" x14ac:dyDescent="0.25">
      <c r="B82" s="14">
        <f ca="1"/>
        <v>349.99920768367156</v>
      </c>
      <c r="C82" s="57">
        <f t="array" aca="1" ref="C82" ca="1">IF(ISNUMBER(B82),(SUM(IF(B82&gt;Errors,1,0))+1+(SUM(IF(B82=Errors,1,0))-1)/2)/(n+1),"")</f>
        <v>0.61</v>
      </c>
      <c r="D82" s="57">
        <f t="shared" ca="1" si="1"/>
        <v>0.27931903444745415</v>
      </c>
      <c r="P82">
        <f ca="1"/>
        <v>17250</v>
      </c>
    </row>
    <row r="83" spans="2:16" x14ac:dyDescent="0.25">
      <c r="B83" s="14">
        <f ca="1"/>
        <v>-678.7452366982634</v>
      </c>
      <c r="C83" s="57">
        <f t="array" aca="1" ref="C83" ca="1">IF(ISNUMBER(B83),(SUM(IF(B83&gt;Errors,1,0))+1+(SUM(IF(B83=Errors,1,0))-1)/2)/(n+1),"")</f>
        <v>0.39</v>
      </c>
      <c r="D83" s="57">
        <f t="shared" ca="1" si="1"/>
        <v>-0.27931903444745415</v>
      </c>
      <c r="P83">
        <f ca="1"/>
        <v>15450</v>
      </c>
    </row>
    <row r="84" spans="2:16" x14ac:dyDescent="0.25">
      <c r="B84" s="14">
        <f ca="1"/>
        <v>674.42398363669417</v>
      </c>
      <c r="C84" s="57">
        <f t="array" aca="1" ref="C84" ca="1">IF(ISNUMBER(B84),(SUM(IF(B84&gt;Errors,1,0))+1+(SUM(IF(B84=Errors,1,0))-1)/2)/(n+1),"")</f>
        <v>0.69499999999999995</v>
      </c>
      <c r="D84" s="57">
        <f t="shared" ca="1" si="1"/>
        <v>0.51007345696859474</v>
      </c>
      <c r="P84">
        <f ca="1"/>
        <v>17950</v>
      </c>
    </row>
    <row r="85" spans="2:16" x14ac:dyDescent="0.25">
      <c r="B85" s="14">
        <f ca="1"/>
        <v>683.4550158057682</v>
      </c>
      <c r="C85" s="57">
        <f t="array" aca="1" ref="C85" ca="1">IF(ISNUMBER(B85),(SUM(IF(B85&gt;Errors,1,0))+1+(SUM(IF(B85=Errors,1,0))-1)/2)/(n+1),"")</f>
        <v>0.7</v>
      </c>
      <c r="D85" s="57">
        <f t="shared" ca="1" si="1"/>
        <v>0.52440051270804078</v>
      </c>
      <c r="P85">
        <f ca="1"/>
        <v>16650</v>
      </c>
    </row>
    <row r="86" spans="2:16" x14ac:dyDescent="0.25">
      <c r="B86" s="14">
        <f ca="1"/>
        <v>-683.55129087579371</v>
      </c>
      <c r="C86" s="57">
        <f t="array" aca="1" ref="C86" ca="1">IF(ISNUMBER(B86),(SUM(IF(B86&gt;Errors,1,0))+1+(SUM(IF(B86=Errors,1,0))-1)/2)/(n+1),"")</f>
        <v>0.38500000000000001</v>
      </c>
      <c r="D86" s="57">
        <f t="shared" ca="1" si="1"/>
        <v>-0.29237489622680418</v>
      </c>
      <c r="P86">
        <f ca="1"/>
        <v>17450</v>
      </c>
    </row>
    <row r="87" spans="2:16" x14ac:dyDescent="0.25">
      <c r="B87" s="14">
        <f ca="1"/>
        <v>258.38690625478921</v>
      </c>
      <c r="C87" s="57">
        <f t="array" aca="1" ref="C87" ca="1">IF(ISNUMBER(B87),(SUM(IF(B87&gt;Errors,1,0))+1+(SUM(IF(B87=Errors,1,0))-1)/2)/(n+1),"")</f>
        <v>0.6</v>
      </c>
      <c r="D87" s="57">
        <f t="shared" ca="1" si="1"/>
        <v>0.25334710313579978</v>
      </c>
      <c r="P87">
        <f ca="1"/>
        <v>14900</v>
      </c>
    </row>
    <row r="88" spans="2:16" x14ac:dyDescent="0.25">
      <c r="B88" s="14">
        <f ca="1"/>
        <v>503.1540602333389</v>
      </c>
      <c r="C88" s="57">
        <f t="array" aca="1" ref="C88" ca="1">IF(ISNUMBER(B88),(SUM(IF(B88&gt;Errors,1,0))+1+(SUM(IF(B88=Errors,1,0))-1)/2)/(n+1),"")</f>
        <v>0.66500000000000004</v>
      </c>
      <c r="D88" s="57">
        <f t="shared" ca="1" si="1"/>
        <v>0.42614800784127838</v>
      </c>
      <c r="P88">
        <f ca="1"/>
        <v>17950</v>
      </c>
    </row>
    <row r="89" spans="2:16" x14ac:dyDescent="0.25">
      <c r="B89" s="14">
        <f ca="1"/>
        <v>684.94824919022722</v>
      </c>
      <c r="C89" s="57">
        <f t="array" aca="1" ref="C89" ca="1">IF(ISNUMBER(B89),(SUM(IF(B89&gt;Errors,1,0))+1+(SUM(IF(B89=Errors,1,0))-1)/2)/(n+1),"")</f>
        <v>0.70499999999999996</v>
      </c>
      <c r="D89" s="57">
        <f t="shared" ca="1" si="1"/>
        <v>0.53883603027845006</v>
      </c>
      <c r="P89">
        <f ca="1"/>
        <v>15950</v>
      </c>
    </row>
    <row r="90" spans="2:16" x14ac:dyDescent="0.25">
      <c r="B90" s="14">
        <f ca="1"/>
        <v>-804.24538355981895</v>
      </c>
      <c r="C90" s="57">
        <f t="array" aca="1" ref="C90" ca="1">IF(ISNUMBER(B90),(SUM(IF(B90&gt;Errors,1,0))+1+(SUM(IF(B90=Errors,1,0))-1)/2)/(n+1),"")</f>
        <v>0.36499999999999999</v>
      </c>
      <c r="D90" s="57">
        <f t="shared" ca="1" si="1"/>
        <v>-0.34512553147047242</v>
      </c>
      <c r="P90">
        <f ca="1"/>
        <v>21950</v>
      </c>
    </row>
    <row r="91" spans="2:16" x14ac:dyDescent="0.25">
      <c r="B91" s="14">
        <f ca="1"/>
        <v>622.15403215720653</v>
      </c>
      <c r="C91" s="57">
        <f t="array" aca="1" ref="C91" ca="1">IF(ISNUMBER(B91),(SUM(IF(B91&gt;Errors,1,0))+1+(SUM(IF(B91=Errors,1,0))-1)/2)/(n+1),"")</f>
        <v>0.67500000000000004</v>
      </c>
      <c r="D91" s="57">
        <f t="shared" ca="1" si="1"/>
        <v>0.45376219016987968</v>
      </c>
      <c r="P91">
        <f ca="1"/>
        <v>16450</v>
      </c>
    </row>
    <row r="92" spans="2:16" x14ac:dyDescent="0.25">
      <c r="B92" s="14">
        <f ca="1"/>
        <v>-2074.2677274331909</v>
      </c>
      <c r="C92" s="57">
        <f t="array" aca="1" ref="C92" ca="1">IF(ISNUMBER(B92),(SUM(IF(B92&gt;Errors,1,0))+1+(SUM(IF(B92=Errors,1,0))-1)/2)/(n+1),"")</f>
        <v>0.14499999999999999</v>
      </c>
      <c r="D92" s="57">
        <f t="shared" ca="1" si="1"/>
        <v>-1.058121617684777</v>
      </c>
      <c r="P92">
        <f ca="1"/>
        <v>22250</v>
      </c>
    </row>
    <row r="93" spans="2:16" x14ac:dyDescent="0.25">
      <c r="B93" s="14">
        <f ca="1"/>
        <v>3041.5444473061361</v>
      </c>
      <c r="C93" s="57">
        <f t="array" aca="1" ref="C93" ca="1">IF(ISNUMBER(B93),(SUM(IF(B93&gt;Errors,1,0))+1+(SUM(IF(B93=Errors,1,0))-1)/2)/(n+1),"")</f>
        <v>0.93500000000000005</v>
      </c>
      <c r="D93" s="57">
        <f t="shared" ca="1" si="1"/>
        <v>1.5141018876192844</v>
      </c>
      <c r="P93">
        <f ca="1"/>
        <v>19950</v>
      </c>
    </row>
    <row r="94" spans="2:16" x14ac:dyDescent="0.25">
      <c r="B94" s="14">
        <f ca="1"/>
        <v>-1503.2440099996129</v>
      </c>
      <c r="C94" s="57">
        <f t="array" aca="1" ref="C94" ca="1">IF(ISNUMBER(B94),(SUM(IF(B94&gt;Errors,1,0))+1+(SUM(IF(B94=Errors,1,0))-1)/2)/(n+1),"")</f>
        <v>0.245</v>
      </c>
      <c r="D94" s="57">
        <f t="shared" ca="1" si="1"/>
        <v>-0.69030882393303394</v>
      </c>
      <c r="P94">
        <f ca="1"/>
        <v>15950</v>
      </c>
    </row>
    <row r="95" spans="2:16" x14ac:dyDescent="0.25">
      <c r="B95" s="14">
        <f ca="1"/>
        <v>4675.6215436623679</v>
      </c>
      <c r="C95" s="57">
        <f t="array" aca="1" ref="C95" ca="1">IF(ISNUMBER(B95),(SUM(IF(B95&gt;Errors,1,0))+1+(SUM(IF(B95=Errors,1,0))-1)/2)/(n+1),"")</f>
        <v>0.97</v>
      </c>
      <c r="D95" s="57">
        <f t="shared" ca="1" si="1"/>
        <v>1.8807936081512504</v>
      </c>
      <c r="P95">
        <f ca="1"/>
        <v>18900</v>
      </c>
    </row>
    <row r="96" spans="2:16" x14ac:dyDescent="0.25">
      <c r="B96" s="14">
        <f ca="1"/>
        <v>1939.8890298134756</v>
      </c>
      <c r="C96" s="57">
        <f t="array" aca="1" ref="C96" ca="1">IF(ISNUMBER(B96),(SUM(IF(B96&gt;Errors,1,0))+1+(SUM(IF(B96=Errors,1,0))-1)/2)/(n+1),"")</f>
        <v>0.82499999999999996</v>
      </c>
      <c r="D96" s="57">
        <f t="shared" ca="1" si="1"/>
        <v>0.9345892910734801</v>
      </c>
      <c r="P96">
        <f ca="1"/>
        <v>19950</v>
      </c>
    </row>
    <row r="97" spans="2:16" x14ac:dyDescent="0.25">
      <c r="B97" s="14">
        <f ca="1"/>
        <v>-2126.9118547169892</v>
      </c>
      <c r="C97" s="57">
        <f t="array" aca="1" ref="C97" ca="1">IF(ISNUMBER(B97),(SUM(IF(B97&gt;Errors,1,0))+1+(SUM(IF(B97=Errors,1,0))-1)/2)/(n+1),"")</f>
        <v>0.115</v>
      </c>
      <c r="D97" s="57">
        <f t="shared" ca="1" si="1"/>
        <v>-1.2003588580308597</v>
      </c>
      <c r="P97">
        <f ca="1"/>
        <v>15950</v>
      </c>
    </row>
    <row r="98" spans="2:16" x14ac:dyDescent="0.25">
      <c r="B98" s="14">
        <f ca="1"/>
        <v>454.83828401366554</v>
      </c>
      <c r="C98" s="57">
        <f t="array" aca="1" ref="C98" ca="1">IF(ISNUMBER(B98),(SUM(IF(B98&gt;Errors,1,0))+1+(SUM(IF(B98=Errors,1,0))-1)/2)/(n+1),"")</f>
        <v>0.64500000000000002</v>
      </c>
      <c r="D98" s="57">
        <f t="shared" ca="1" si="1"/>
        <v>0.3718560893850747</v>
      </c>
      <c r="P98">
        <f ca="1"/>
        <v>15950</v>
      </c>
    </row>
    <row r="99" spans="2:16" x14ac:dyDescent="0.25">
      <c r="B99" s="14">
        <f ca="1"/>
        <v>2008.00951051632</v>
      </c>
      <c r="C99" s="57">
        <f t="array" aca="1" ref="C99" ca="1">IF(ISNUMBER(B99),(SUM(IF(B99&gt;Errors,1,0))+1+(SUM(IF(B99=Errors,1,0))-1)/2)/(n+1),"")</f>
        <v>0.83499999999999996</v>
      </c>
      <c r="D99" s="57">
        <f t="shared" ca="1" si="1"/>
        <v>0.97411387705930974</v>
      </c>
      <c r="P99">
        <f ca="1"/>
        <v>18750</v>
      </c>
    </row>
    <row r="100" spans="2:16" x14ac:dyDescent="0.25">
      <c r="B100" s="14">
        <f ca="1"/>
        <v>-2262.0912472261953</v>
      </c>
      <c r="C100" s="57">
        <f t="array" aca="1" ref="C100" ca="1">IF(ISNUMBER(B100),(SUM(IF(B100&gt;Errors,1,0))+1+(SUM(IF(B100=Errors,1,0))-1)/2)/(n+1),"")</f>
        <v>9.5000000000000001E-2</v>
      </c>
      <c r="D100" s="57">
        <f t="shared" ca="1" si="1"/>
        <v>-1.3105791121681303</v>
      </c>
      <c r="P100">
        <f ca="1"/>
        <v>17450</v>
      </c>
    </row>
    <row r="101" spans="2:16" x14ac:dyDescent="0.25">
      <c r="B101" s="14">
        <f ca="1"/>
        <v>-2291.2658480332757</v>
      </c>
      <c r="C101" s="57">
        <f t="array" aca="1" ref="C101" ca="1">IF(ISNUMBER(B101),(SUM(IF(B101&gt;Errors,1,0))+1+(SUM(IF(B101=Errors,1,0))-1)/2)/(n+1),"")</f>
        <v>0.09</v>
      </c>
      <c r="D101" s="57">
        <f t="shared" ca="1" si="1"/>
        <v>-1.3407550336902161</v>
      </c>
    </row>
    <row r="102" spans="2:16" x14ac:dyDescent="0.25">
      <c r="B102" s="14">
        <f ca="1"/>
        <v>-1192.6440708123446</v>
      </c>
      <c r="C102" s="57">
        <f t="array" aca="1" ref="C102" ca="1">IF(ISNUMBER(B102),(SUM(IF(B102&gt;Errors,1,0))+1+(SUM(IF(B102=Errors,1,0))-1)/2)/(n+1),"")</f>
        <v>0.29499999999999998</v>
      </c>
      <c r="D102" s="57">
        <f t="shared" ca="1" si="1"/>
        <v>-0.5388360302784504</v>
      </c>
    </row>
    <row r="103" spans="2:16" x14ac:dyDescent="0.25">
      <c r="B103" s="14">
        <f ca="1"/>
        <v>-910.98362244913733</v>
      </c>
      <c r="C103" s="57">
        <f t="array" aca="1" ref="C103" ca="1">IF(ISNUMBER(B103),(SUM(IF(B103&gt;Errors,1,0))+1+(SUM(IF(B103=Errors,1,0))-1)/2)/(n+1),"")</f>
        <v>0.35</v>
      </c>
      <c r="D103" s="57">
        <f t="shared" ca="1" si="1"/>
        <v>-0.38532046640756784</v>
      </c>
    </row>
    <row r="104" spans="2:16" x14ac:dyDescent="0.25">
      <c r="B104" s="14">
        <f ca="1"/>
        <v>-40.333927662959468</v>
      </c>
      <c r="C104" s="57">
        <f t="array" aca="1" ref="C104" ca="1">IF(ISNUMBER(B104),(SUM(IF(B104&gt;Errors,1,0))+1+(SUM(IF(B104=Errors,1,0))-1)/2)/(n+1),"")</f>
        <v>0.52500000000000002</v>
      </c>
      <c r="D104" s="57">
        <f t="shared" ca="1" si="1"/>
        <v>6.2706777943213846E-2</v>
      </c>
    </row>
    <row r="105" spans="2:16" x14ac:dyDescent="0.25">
      <c r="B105" s="14">
        <f ca="1"/>
        <v>-2047.7241807680584</v>
      </c>
      <c r="C105" s="57">
        <f t="array" aca="1" ref="C105" ca="1">IF(ISNUMBER(B105),(SUM(IF(B105&gt;Errors,1,0))+1+(SUM(IF(B105=Errors,1,0))-1)/2)/(n+1),"")</f>
        <v>0.15</v>
      </c>
      <c r="D105" s="57">
        <f t="shared" ca="1" si="1"/>
        <v>-1.0364333894937898</v>
      </c>
    </row>
    <row r="106" spans="2:16" x14ac:dyDescent="0.25">
      <c r="B106" s="14">
        <f ca="1"/>
        <v>1826.1634549820119</v>
      </c>
      <c r="C106" s="57">
        <f t="array" aca="1" ref="C106" ca="1">IF(ISNUMBER(B106),(SUM(IF(B106&gt;Errors,1,0))+1+(SUM(IF(B106=Errors,1,0))-1)/2)/(n+1),"")</f>
        <v>0.80500000000000005</v>
      </c>
      <c r="D106" s="57">
        <f t="shared" ca="1" si="1"/>
        <v>0.85961736424191149</v>
      </c>
    </row>
    <row r="107" spans="2:16" x14ac:dyDescent="0.25">
      <c r="B107" s="14">
        <f ca="1"/>
        <v>-1512.7317194962925</v>
      </c>
      <c r="C107" s="57">
        <f t="array" aca="1" ref="C107" ca="1">IF(ISNUMBER(B107),(SUM(IF(B107&gt;Errors,1,0))+1+(SUM(IF(B107=Errors,1,0))-1)/2)/(n+1),"")</f>
        <v>0.24</v>
      </c>
      <c r="D107" s="57">
        <f t="shared" ca="1" si="1"/>
        <v>-0.7063025628400873</v>
      </c>
    </row>
    <row r="108" spans="2:16" x14ac:dyDescent="0.25">
      <c r="B108" s="14">
        <f ca="1"/>
        <v>-1873.9731155509508</v>
      </c>
      <c r="C108" s="57">
        <f t="array" aca="1" ref="C108" ca="1">IF(ISNUMBER(B108),(SUM(IF(B108&gt;Errors,1,0))+1+(SUM(IF(B108=Errors,1,0))-1)/2)/(n+1),"")</f>
        <v>0.17499999999999999</v>
      </c>
      <c r="D108" s="57">
        <f t="shared" ca="1" si="1"/>
        <v>-0.93458929107347943</v>
      </c>
    </row>
    <row r="109" spans="2:16" x14ac:dyDescent="0.25">
      <c r="B109" s="14">
        <f ca="1"/>
        <v>-1393.3393008140083</v>
      </c>
      <c r="C109" s="57">
        <f t="array" aca="1" ref="C109" ca="1">IF(ISNUMBER(B109),(SUM(IF(B109&gt;Errors,1,0))+1+(SUM(IF(B109=Errors,1,0))-1)/2)/(n+1),"")</f>
        <v>0.26500000000000001</v>
      </c>
      <c r="D109" s="57">
        <f t="shared" ca="1" si="1"/>
        <v>-0.62800601443756987</v>
      </c>
    </row>
    <row r="110" spans="2:16" x14ac:dyDescent="0.25">
      <c r="B110" s="14">
        <f ca="1"/>
        <v>-943.61220160719677</v>
      </c>
      <c r="C110" s="57">
        <f t="array" aca="1" ref="C110" ca="1">IF(ISNUMBER(B110),(SUM(IF(B110&gt;Errors,1,0))+1+(SUM(IF(B110=Errors,1,0))-1)/2)/(n+1),"")</f>
        <v>0.34499999999999997</v>
      </c>
      <c r="D110" s="57">
        <f t="shared" ca="1" si="1"/>
        <v>-0.39885506564233691</v>
      </c>
    </row>
    <row r="111" spans="2:16" x14ac:dyDescent="0.25">
      <c r="B111" s="14">
        <f ca="1"/>
        <v>-1129.8967129443699</v>
      </c>
      <c r="C111" s="57">
        <f t="array" aca="1" ref="C111" ca="1">IF(ISNUMBER(B111),(SUM(IF(B111&gt;Errors,1,0))+1+(SUM(IF(B111=Errors,1,0))-1)/2)/(n+1),"")</f>
        <v>0.31</v>
      </c>
      <c r="D111" s="57">
        <f t="shared" ca="1" si="1"/>
        <v>-0.49585034734745354</v>
      </c>
    </row>
    <row r="112" spans="2:16" x14ac:dyDescent="0.25">
      <c r="B112" s="14">
        <f ca="1"/>
        <v>-1214.1003508644608</v>
      </c>
      <c r="C112" s="57">
        <f t="array" aca="1" ref="C112" ca="1">IF(ISNUMBER(B112),(SUM(IF(B112&gt;Errors,1,0))+1+(SUM(IF(B112=Errors,1,0))-1)/2)/(n+1),"")</f>
        <v>0.28499999999999998</v>
      </c>
      <c r="D112" s="57">
        <f t="shared" ca="1" si="1"/>
        <v>-0.56805149833898283</v>
      </c>
    </row>
    <row r="113" spans="2:4" x14ac:dyDescent="0.25">
      <c r="B113" s="14">
        <f ca="1"/>
        <v>10178.987134290299</v>
      </c>
      <c r="C113" s="57">
        <f t="array" aca="1" ref="C113" ca="1">IF(ISNUMBER(B113),(SUM(IF(B113&gt;Errors,1,0))+1+(SUM(IF(B113=Errors,1,0))-1)/2)/(n+1),"")</f>
        <v>0.995</v>
      </c>
      <c r="D113" s="57">
        <f t="shared" ca="1" si="1"/>
        <v>2.5758293035488999</v>
      </c>
    </row>
    <row r="114" spans="2:4" x14ac:dyDescent="0.25">
      <c r="B114" s="14">
        <f ca="1"/>
        <v>8199.8541800352286</v>
      </c>
      <c r="C114" s="57">
        <f t="array" aca="1" ref="C114" ca="1">IF(ISNUMBER(B114),(SUM(IF(B114&gt;Errors,1,0))+1+(SUM(IF(B114=Errors,1,0))-1)/2)/(n+1),"")</f>
        <v>0.98499999999999999</v>
      </c>
      <c r="D114" s="57">
        <f t="shared" ca="1" si="1"/>
        <v>2.1700903775845601</v>
      </c>
    </row>
    <row r="115" spans="2:4" x14ac:dyDescent="0.25">
      <c r="B115" s="14">
        <f ca="1"/>
        <v>8453.9374888916391</v>
      </c>
      <c r="C115" s="57">
        <f t="array" aca="1" ref="C115" ca="1">IF(ISNUMBER(B115),(SUM(IF(B115&gt;Errors,1,0))+1+(SUM(IF(B115=Errors,1,0))-1)/2)/(n+1),"")</f>
        <v>0.99</v>
      </c>
      <c r="D115" s="57">
        <f t="shared" ca="1" si="1"/>
        <v>2.3263478740408408</v>
      </c>
    </row>
    <row r="116" spans="2:4" x14ac:dyDescent="0.25">
      <c r="B116" s="14">
        <f ca="1"/>
        <v>2637.6692548316678</v>
      </c>
      <c r="C116" s="57">
        <f t="array" aca="1" ref="C116" ca="1">IF(ISNUMBER(B116),(SUM(IF(B116&gt;Errors,1,0))+1+(SUM(IF(B116=Errors,1,0))-1)/2)/(n+1),"")</f>
        <v>0.90749999999999997</v>
      </c>
      <c r="D116" s="57">
        <f t="shared" ca="1" si="1"/>
        <v>1.3255161998000577</v>
      </c>
    </row>
    <row r="117" spans="2:4" x14ac:dyDescent="0.25">
      <c r="B117" s="14">
        <f ca="1"/>
        <v>2637.6692548316678</v>
      </c>
      <c r="C117" s="57">
        <f t="array" aca="1" ref="C117" ca="1">IF(ISNUMBER(B117),(SUM(IF(B117&gt;Errors,1,0))+1+(SUM(IF(B117=Errors,1,0))-1)/2)/(n+1),"")</f>
        <v>0.90749999999999997</v>
      </c>
      <c r="D117" s="57">
        <f t="shared" ca="1" si="1"/>
        <v>1.3255161998000577</v>
      </c>
    </row>
    <row r="118" spans="2:4" x14ac:dyDescent="0.25">
      <c r="B118" s="14">
        <f ca="1"/>
        <v>507.85290193168839</v>
      </c>
      <c r="C118" s="57">
        <f t="array" aca="1" ref="C118" ca="1">IF(ISNUMBER(B118),(SUM(IF(B118&gt;Errors,1,0))+1+(SUM(IF(B118=Errors,1,0))-1)/2)/(n+1),"")</f>
        <v>0.67</v>
      </c>
      <c r="D118" s="57">
        <f t="shared" ca="1" si="1"/>
        <v>0.43991316567323396</v>
      </c>
    </row>
    <row r="119" spans="2:4" x14ac:dyDescent="0.25">
      <c r="B119" s="14">
        <f ca="1"/>
        <v>4353.9194308801816</v>
      </c>
      <c r="C119" s="57">
        <f t="array" aca="1" ref="C119" ca="1">IF(ISNUMBER(B119),(SUM(IF(B119&gt;Errors,1,0))+1+(SUM(IF(B119=Errors,1,0))-1)/2)/(n+1),"")</f>
        <v>0.96499999999999997</v>
      </c>
      <c r="D119" s="57">
        <f t="shared" ca="1" si="1"/>
        <v>1.8119106729525971</v>
      </c>
    </row>
    <row r="120" spans="2:4" x14ac:dyDescent="0.25">
      <c r="B120" s="14">
        <f ca="1"/>
        <v>1354.4225116106354</v>
      </c>
      <c r="C120" s="57">
        <f t="array" aca="1" ref="C120" ca="1">IF(ISNUMBER(B120),(SUM(IF(B120&gt;Errors,1,0))+1+(SUM(IF(B120=Errors,1,0))-1)/2)/(n+1),"")</f>
        <v>0.77500000000000002</v>
      </c>
      <c r="D120" s="57">
        <f t="shared" ca="1" si="1"/>
        <v>0.75541502636046909</v>
      </c>
    </row>
    <row r="121" spans="2:4" x14ac:dyDescent="0.25">
      <c r="B121" s="14">
        <f ca="1"/>
        <v>-4224.9746466444667</v>
      </c>
      <c r="C121" s="57">
        <f t="array" aca="1" ref="C121" ca="1">IF(ISNUMBER(B121),(SUM(IF(B121&gt;Errors,1,0))+1+(SUM(IF(B121=Errors,1,0))-1)/2)/(n+1),"")</f>
        <v>0.02</v>
      </c>
      <c r="D121" s="57">
        <f t="shared" ca="1" si="1"/>
        <v>-2.0537489106318225</v>
      </c>
    </row>
    <row r="122" spans="2:4" x14ac:dyDescent="0.25">
      <c r="B122" s="14">
        <f ca="1"/>
        <v>1888.9717933270113</v>
      </c>
      <c r="C122" s="57">
        <f t="array" aca="1" ref="C122" ca="1">IF(ISNUMBER(B122),(SUM(IF(B122&gt;Errors,1,0))+1+(SUM(IF(B122=Errors,1,0))-1)/2)/(n+1),"")</f>
        <v>0.81</v>
      </c>
      <c r="D122" s="57">
        <f t="shared" ca="1" si="1"/>
        <v>0.87789629505122857</v>
      </c>
    </row>
    <row r="123" spans="2:4" x14ac:dyDescent="0.25">
      <c r="B123" s="14">
        <f ca="1"/>
        <v>3197.4890100891971</v>
      </c>
      <c r="C123" s="57">
        <f t="array" aca="1" ref="C123" ca="1">IF(ISNUMBER(B123),(SUM(IF(B123&gt;Errors,1,0))+1+(SUM(IF(B123=Errors,1,0))-1)/2)/(n+1),"")</f>
        <v>0.94499999999999995</v>
      </c>
      <c r="D123" s="57">
        <f t="shared" ca="1" si="1"/>
        <v>1.5981931399228169</v>
      </c>
    </row>
    <row r="124" spans="2:4" x14ac:dyDescent="0.25">
      <c r="B124" s="14">
        <f ca="1"/>
        <v>-2.6271167404702283</v>
      </c>
      <c r="C124" s="57">
        <f t="array" aca="1" ref="C124" ca="1">IF(ISNUMBER(B124),(SUM(IF(B124&gt;Errors,1,0))+1+(SUM(IF(B124=Errors,1,0))-1)/2)/(n+1),"")</f>
        <v>0.54500000000000004</v>
      </c>
      <c r="D124" s="57">
        <f t="shared" ca="1" si="1"/>
        <v>0.11303854064456527</v>
      </c>
    </row>
    <row r="125" spans="2:4" x14ac:dyDescent="0.25">
      <c r="B125" s="14">
        <f ca="1"/>
        <v>2386.8004224231117</v>
      </c>
      <c r="C125" s="57">
        <f t="array" aca="1" ref="C125" ca="1">IF(ISNUMBER(B125),(SUM(IF(B125&gt;Errors,1,0))+1+(SUM(IF(B125=Errors,1,0))-1)/2)/(n+1),"")</f>
        <v>0.875</v>
      </c>
      <c r="D125" s="57">
        <f t="shared" ca="1" si="1"/>
        <v>1.1503493803760083</v>
      </c>
    </row>
    <row r="126" spans="2:4" x14ac:dyDescent="0.25">
      <c r="B126" s="14">
        <f ca="1"/>
        <v>-3155.0782558056635</v>
      </c>
      <c r="C126" s="57">
        <f t="array" aca="1" ref="C126" ca="1">IF(ISNUMBER(B126),(SUM(IF(B126&gt;Errors,1,0))+1+(SUM(IF(B126=Errors,1,0))-1)/2)/(n+1),"")</f>
        <v>0.05</v>
      </c>
      <c r="D126" s="57">
        <f t="shared" ca="1" si="1"/>
        <v>-1.6448536269514726</v>
      </c>
    </row>
    <row r="127" spans="2:4" x14ac:dyDescent="0.25">
      <c r="B127" s="14">
        <f ca="1"/>
        <v>53.030895068590326</v>
      </c>
      <c r="C127" s="57">
        <f t="array" aca="1" ref="C127" ca="1">IF(ISNUMBER(B127),(SUM(IF(B127&gt;Errors,1,0))+1+(SUM(IF(B127=Errors,1,0))-1)/2)/(n+1),"")</f>
        <v>0.55500000000000005</v>
      </c>
      <c r="D127" s="57">
        <f t="shared" ca="1" si="1"/>
        <v>0.13830420796140466</v>
      </c>
    </row>
    <row r="128" spans="2:4" x14ac:dyDescent="0.25">
      <c r="B128" s="14">
        <f ca="1"/>
        <v>-1768.1382717223096</v>
      </c>
      <c r="C128" s="57">
        <f t="array" aca="1" ref="C128" ca="1">IF(ISNUMBER(B128),(SUM(IF(B128&gt;Errors,1,0))+1+(SUM(IF(B128=Errors,1,0))-1)/2)/(n+1),"")</f>
        <v>0.185</v>
      </c>
      <c r="D128" s="57">
        <f t="shared" ca="1" si="1"/>
        <v>-0.89647336400191613</v>
      </c>
    </row>
    <row r="129" spans="2:4" x14ac:dyDescent="0.25">
      <c r="B129" s="14">
        <f ca="1"/>
        <v>2416.5704803679</v>
      </c>
      <c r="C129" s="57">
        <f t="array" aca="1" ref="C129" ca="1">IF(ISNUMBER(B129),(SUM(IF(B129&gt;Errors,1,0))+1+(SUM(IF(B129=Errors,1,0))-1)/2)/(n+1),"")</f>
        <v>0.88</v>
      </c>
      <c r="D129" s="57">
        <f t="shared" ca="1" si="1"/>
        <v>1.1749867920660904</v>
      </c>
    </row>
    <row r="130" spans="2:4" x14ac:dyDescent="0.25">
      <c r="B130" s="14">
        <f ca="1"/>
        <v>-2973.0313020963258</v>
      </c>
      <c r="C130" s="57">
        <f t="array" aca="1" ref="C130" ca="1">IF(ISNUMBER(B130),(SUM(IF(B130&gt;Errors,1,0))+1+(SUM(IF(B130=Errors,1,0))-1)/2)/(n+1),"")</f>
        <v>0.06</v>
      </c>
      <c r="D130" s="57">
        <f t="shared" ca="1" si="1"/>
        <v>-1.554773594596853</v>
      </c>
    </row>
    <row r="131" spans="2:4" x14ac:dyDescent="0.25">
      <c r="B131" s="14">
        <f ca="1"/>
        <v>-1562.9311383566128</v>
      </c>
      <c r="C131" s="57">
        <f t="array" aca="1" ref="C131" ca="1">IF(ISNUMBER(B131),(SUM(IF(B131&gt;Errors,1,0))+1+(SUM(IF(B131=Errors,1,0))-1)/2)/(n+1),"")</f>
        <v>0.23499999999999999</v>
      </c>
      <c r="D131" s="57">
        <f t="shared" ca="1" si="1"/>
        <v>-0.72247905192806261</v>
      </c>
    </row>
    <row r="132" spans="2:4" x14ac:dyDescent="0.25">
      <c r="B132" s="14">
        <f ca="1"/>
        <v>-431.27181384481446</v>
      </c>
      <c r="C132" s="57">
        <f t="array" aca="1" ref="C132" ca="1">IF(ISNUMBER(B132),(SUM(IF(B132&gt;Errors,1,0))+1+(SUM(IF(B132=Errors,1,0))-1)/2)/(n+1),"")</f>
        <v>0.44500000000000001</v>
      </c>
      <c r="D132" s="57">
        <f t="shared" ca="1" si="1"/>
        <v>-0.1383042079614045</v>
      </c>
    </row>
    <row r="133" spans="2:4" x14ac:dyDescent="0.25">
      <c r="B133" s="14">
        <f ca="1"/>
        <v>-3812.3373074860465</v>
      </c>
      <c r="C133" s="57">
        <f t="array" aca="1" ref="C133" ca="1">IF(ISNUMBER(B133),(SUM(IF(B133&gt;Errors,1,0))+1+(SUM(IF(B133=Errors,1,0))-1)/2)/(n+1),"")</f>
        <v>3.5000000000000003E-2</v>
      </c>
      <c r="D133" s="57">
        <f t="shared" ca="1" si="1"/>
        <v>-1.8119106729525978</v>
      </c>
    </row>
    <row r="134" spans="2:4" x14ac:dyDescent="0.25">
      <c r="B134" s="14">
        <f ca="1"/>
        <v>-1832.7852615901102</v>
      </c>
      <c r="C134" s="57">
        <f t="array" aca="1" ref="C134" ca="1">IF(ISNUMBER(B134),(SUM(IF(B134&gt;Errors,1,0))+1+(SUM(IF(B134=Errors,1,0))-1)/2)/(n+1),"")</f>
        <v>0.18</v>
      </c>
      <c r="D134" s="57">
        <f t="shared" ca="1" si="1"/>
        <v>-0.91536508784281501</v>
      </c>
    </row>
    <row r="135" spans="2:4" x14ac:dyDescent="0.25">
      <c r="B135" s="14">
        <f ca="1"/>
        <v>-2156.4629559646601</v>
      </c>
      <c r="C135" s="57">
        <f t="array" aca="1" ref="C135" ca="1">IF(ISNUMBER(B135),(SUM(IF(B135&gt;Errors,1,0))+1+(SUM(IF(B135=Errors,1,0))-1)/2)/(n+1),"")</f>
        <v>0.105</v>
      </c>
      <c r="D135" s="57">
        <f t="shared" ca="1" si="1"/>
        <v>-1.2535654384704511</v>
      </c>
    </row>
    <row r="136" spans="2:4" x14ac:dyDescent="0.25">
      <c r="B136" s="14">
        <f ca="1"/>
        <v>-1962.0410471674477</v>
      </c>
      <c r="C136" s="57">
        <f t="array" aca="1" ref="C136" ca="1">IF(ISNUMBER(B136),(SUM(IF(B136&gt;Errors,1,0))+1+(SUM(IF(B136=Errors,1,0))-1)/2)/(n+1),"")</f>
        <v>0.16500000000000001</v>
      </c>
      <c r="D136" s="57">
        <f t="shared" ca="1" si="1"/>
        <v>-0.97411387705930974</v>
      </c>
    </row>
    <row r="137" spans="2:4" x14ac:dyDescent="0.25">
      <c r="B137" s="14">
        <f ca="1"/>
        <v>-3746.690881020284</v>
      </c>
      <c r="C137" s="57">
        <f t="array" aca="1" ref="C137" ca="1">IF(ISNUMBER(B137),(SUM(IF(B137&gt;Errors,1,0))+1+(SUM(IF(B137=Errors,1,0))-1)/2)/(n+1),"")</f>
        <v>0.04</v>
      </c>
      <c r="D137" s="57">
        <f t="shared" ca="1" si="1"/>
        <v>-1.7506860712521695</v>
      </c>
    </row>
    <row r="138" spans="2:4" x14ac:dyDescent="0.25">
      <c r="B138" s="14">
        <f ca="1"/>
        <v>-1100.5399036928793</v>
      </c>
      <c r="C138" s="57">
        <f t="array" aca="1" ref="C138" ca="1">IF(ISNUMBER(B138),(SUM(IF(B138&gt;Errors,1,0))+1+(SUM(IF(B138=Errors,1,0))-1)/2)/(n+1),"")</f>
        <v>0.32</v>
      </c>
      <c r="D138" s="57">
        <f t="shared" ca="1" si="1"/>
        <v>-0.46769879911450829</v>
      </c>
    </row>
    <row r="139" spans="2:4" x14ac:dyDescent="0.25">
      <c r="B139" s="14">
        <f ca="1"/>
        <v>-1213.0037696201398</v>
      </c>
      <c r="C139" s="57">
        <f t="array" aca="1" ref="C139" ca="1">IF(ISNUMBER(B139),(SUM(IF(B139&gt;Errors,1,0))+1+(SUM(IF(B139=Errors,1,0))-1)/2)/(n+1),"")</f>
        <v>0.28999999999999998</v>
      </c>
      <c r="D139" s="57">
        <f t="shared" ca="1" si="1"/>
        <v>-0.55338471955567303</v>
      </c>
    </row>
    <row r="140" spans="2:4" x14ac:dyDescent="0.25">
      <c r="B140" s="14">
        <f ca="1"/>
        <v>733.2312259740138</v>
      </c>
      <c r="C140" s="57">
        <f t="array" aca="1" ref="C140" ca="1">IF(ISNUMBER(B140),(SUM(IF(B140&gt;Errors,1,0))+1+(SUM(IF(B140=Errors,1,0))-1)/2)/(n+1),"")</f>
        <v>0.71</v>
      </c>
      <c r="D140" s="57">
        <f t="shared" ca="1" si="1"/>
        <v>0.5533847195556727</v>
      </c>
    </row>
    <row r="141" spans="2:4" x14ac:dyDescent="0.25">
      <c r="B141" s="14">
        <f ca="1"/>
        <v>-3481.8392888179769</v>
      </c>
      <c r="C141" s="57">
        <f t="array" aca="1" ref="C141" ca="1">IF(ISNUMBER(B141),(SUM(IF(B141&gt;Errors,1,0))+1+(SUM(IF(B141=Errors,1,0))-1)/2)/(n+1),"")</f>
        <v>4.4999999999999998E-2</v>
      </c>
      <c r="D141" s="57">
        <f t="shared" ca="1" si="1"/>
        <v>-1.6953977102721358</v>
      </c>
    </row>
    <row r="142" spans="2:4" x14ac:dyDescent="0.25">
      <c r="B142" s="14">
        <f ca="1"/>
        <v>2660.7084180946113</v>
      </c>
      <c r="C142" s="57">
        <f t="array" aca="1" ref="C142" ca="1">IF(ISNUMBER(B142),(SUM(IF(B142&gt;Errors,1,0))+1+(SUM(IF(B142=Errors,1,0))-1)/2)/(n+1),"")</f>
        <v>0.91500000000000004</v>
      </c>
      <c r="D142" s="57">
        <f t="shared" ca="1" si="1"/>
        <v>1.3722038089987258</v>
      </c>
    </row>
    <row r="143" spans="2:4" x14ac:dyDescent="0.25">
      <c r="B143" s="14">
        <f ca="1"/>
        <v>868.20190395698955</v>
      </c>
      <c r="C143" s="57">
        <f t="array" aca="1" ref="C143" ca="1">IF(ISNUMBER(B143),(SUM(IF(B143&gt;Errors,1,0))+1+(SUM(IF(B143=Errors,1,0))-1)/2)/(n+1),"")</f>
        <v>0.74</v>
      </c>
      <c r="D143" s="57">
        <f t="shared" ca="1" si="1"/>
        <v>0.64334540539291696</v>
      </c>
    </row>
    <row r="144" spans="2:4" x14ac:dyDescent="0.25">
      <c r="B144" s="14">
        <f ca="1"/>
        <v>-1716.7783265463222</v>
      </c>
      <c r="C144" s="57">
        <f t="array" aca="1" ref="C144" ca="1">IF(ISNUMBER(B144),(SUM(IF(B144&gt;Errors,1,0))+1+(SUM(IF(B144=Errors,1,0))-1)/2)/(n+1),"")</f>
        <v>0.2</v>
      </c>
      <c r="D144" s="57">
        <f t="shared" ca="1" si="1"/>
        <v>-0.84162123357291452</v>
      </c>
    </row>
    <row r="145" spans="2:4" x14ac:dyDescent="0.25">
      <c r="B145" s="14">
        <f ca="1"/>
        <v>-673.42980404235277</v>
      </c>
      <c r="C145" s="57">
        <f t="array" aca="1" ref="C145" ca="1">IF(ISNUMBER(B145),(SUM(IF(B145&gt;Errors,1,0))+1+(SUM(IF(B145=Errors,1,0))-1)/2)/(n+1),"")</f>
        <v>0.39500000000000002</v>
      </c>
      <c r="D145" s="57">
        <f t="shared" ca="1" si="1"/>
        <v>-0.26631061320409499</v>
      </c>
    </row>
    <row r="146" spans="2:4" x14ac:dyDescent="0.25">
      <c r="B146" s="14">
        <f ca="1"/>
        <v>186.85260787829611</v>
      </c>
      <c r="C146" s="57">
        <f t="array" aca="1" ref="C146" ca="1">IF(ISNUMBER(B146),(SUM(IF(B146&gt;Errors,1,0))+1+(SUM(IF(B146=Errors,1,0))-1)/2)/(n+1),"")</f>
        <v>0.58499999999999996</v>
      </c>
      <c r="D146" s="57">
        <f t="shared" ca="1" si="1"/>
        <v>0.21470156800174439</v>
      </c>
    </row>
    <row r="147" spans="2:4" x14ac:dyDescent="0.25">
      <c r="B147" s="14">
        <f ca="1"/>
        <v>-962.03370345936492</v>
      </c>
      <c r="C147" s="57">
        <f t="array" aca="1" ref="C147" ca="1">IF(ISNUMBER(B147),(SUM(IF(B147&gt;Errors,1,0))+1+(SUM(IF(B147=Errors,1,0))-1)/2)/(n+1),"")</f>
        <v>0.33</v>
      </c>
      <c r="D147" s="57">
        <f t="shared" ca="1" si="1"/>
        <v>-0.43991316567323374</v>
      </c>
    </row>
    <row r="148" spans="2:4" x14ac:dyDescent="0.25">
      <c r="B148" s="14">
        <f ca="1"/>
        <v>-617.63689469152814</v>
      </c>
      <c r="C148" s="57">
        <f t="array" aca="1" ref="C148" ca="1">IF(ISNUMBER(B148),(SUM(IF(B148&gt;Errors,1,0))+1+(SUM(IF(B148=Errors,1,0))-1)/2)/(n+1),"")</f>
        <v>0.41</v>
      </c>
      <c r="D148" s="57">
        <f t="shared" ca="1" si="1"/>
        <v>-0.2275449766411495</v>
      </c>
    </row>
    <row r="149" spans="2:4" x14ac:dyDescent="0.25">
      <c r="B149" s="14">
        <f ca="1"/>
        <v>-1635.3597083175555</v>
      </c>
      <c r="C149" s="57">
        <f t="array" aca="1" ref="C149" ca="1">IF(ISNUMBER(B149),(SUM(IF(B149&gt;Errors,1,0))+1+(SUM(IF(B149=Errors,1,0))-1)/2)/(n+1),"")</f>
        <v>0.215</v>
      </c>
      <c r="D149" s="57">
        <f t="shared" ca="1" si="1"/>
        <v>-0.78919165265822189</v>
      </c>
    </row>
    <row r="150" spans="2:4" x14ac:dyDescent="0.25">
      <c r="B150" s="14">
        <f ca="1"/>
        <v>656.90138650704466</v>
      </c>
      <c r="C150" s="57">
        <f t="array" aca="1" ref="C150" ca="1">IF(ISNUMBER(B150),(SUM(IF(B150&gt;Errors,1,0))+1+(SUM(IF(B150=Errors,1,0))-1)/2)/(n+1),"")</f>
        <v>0.68500000000000005</v>
      </c>
      <c r="D150" s="57">
        <f t="shared" ca="1" si="1"/>
        <v>0.48172684958473044</v>
      </c>
    </row>
    <row r="151" spans="2:4" x14ac:dyDescent="0.25">
      <c r="B151" s="14">
        <f ca="1"/>
        <v>4724.8045937795869</v>
      </c>
      <c r="C151" s="57">
        <f t="array" aca="1" ref="C151" ca="1">IF(ISNUMBER(B151),(SUM(IF(B151&gt;Errors,1,0))+1+(SUM(IF(B151=Errors,1,0))-1)/2)/(n+1),"")</f>
        <v>0.97499999999999998</v>
      </c>
      <c r="D151" s="57">
        <f t="shared" ca="1" si="1"/>
        <v>1.9599639845400536</v>
      </c>
    </row>
    <row r="152" spans="2:4" x14ac:dyDescent="0.25">
      <c r="B152" s="14">
        <f ca="1"/>
        <v>789.10453057225823</v>
      </c>
      <c r="C152" s="57">
        <f t="array" aca="1" ref="C152" ca="1">IF(ISNUMBER(B152),(SUM(IF(B152&gt;Errors,1,0))+1+(SUM(IF(B152=Errors,1,0))-1)/2)/(n+1),"")</f>
        <v>0.72</v>
      </c>
      <c r="D152" s="57">
        <f t="shared" ca="1" si="1"/>
        <v>0.58284150727121631</v>
      </c>
    </row>
    <row r="153" spans="2:4" x14ac:dyDescent="0.25">
      <c r="B153" s="14">
        <f ca="1"/>
        <v>-38.890720471419627</v>
      </c>
      <c r="C153" s="57">
        <f t="array" aca="1" ref="C153" ca="1">IF(ISNUMBER(B153),(SUM(IF(B153&gt;Errors,1,0))+1+(SUM(IF(B153=Errors,1,0))-1)/2)/(n+1),"")</f>
        <v>0.53</v>
      </c>
      <c r="D153" s="57">
        <f t="shared" ca="1" si="1"/>
        <v>7.5269862099829901E-2</v>
      </c>
    </row>
    <row r="154" spans="2:4" x14ac:dyDescent="0.25">
      <c r="B154" s="14">
        <f ca="1"/>
        <v>-1011.0213116532505</v>
      </c>
      <c r="C154" s="57">
        <f t="array" aca="1" ref="C154" ca="1">IF(ISNUMBER(B154),(SUM(IF(B154&gt;Errors,1,0))+1+(SUM(IF(B154=Errors,1,0))-1)/2)/(n+1),"")</f>
        <v>0.32500000000000001</v>
      </c>
      <c r="D154" s="57">
        <f t="shared" ca="1" si="1"/>
        <v>-0.45376219016987951</v>
      </c>
    </row>
    <row r="155" spans="2:4" x14ac:dyDescent="0.25">
      <c r="B155" s="14">
        <f ca="1"/>
        <v>1278.3115179421657</v>
      </c>
      <c r="C155" s="57">
        <f t="array" aca="1" ref="C155" ca="1">IF(ISNUMBER(B155),(SUM(IF(B155&gt;Errors,1,0))+1+(SUM(IF(B155=Errors,1,0))-1)/2)/(n+1),"")</f>
        <v>0.77</v>
      </c>
      <c r="D155" s="57">
        <f t="shared" ca="1" si="1"/>
        <v>0.73884684918521393</v>
      </c>
    </row>
    <row r="156" spans="2:4" x14ac:dyDescent="0.25">
      <c r="B156" s="14">
        <f ca="1"/>
        <v>-816.7436569459569</v>
      </c>
      <c r="C156" s="57">
        <f t="array" aca="1" ref="C156" ca="1">IF(ISNUMBER(B156),(SUM(IF(B156&gt;Errors,1,0))+1+(SUM(IF(B156=Errors,1,0))-1)/2)/(n+1),"")</f>
        <v>0.36</v>
      </c>
      <c r="D156" s="57">
        <f t="shared" ca="1" si="1"/>
        <v>-0.35845879325119384</v>
      </c>
    </row>
    <row r="157" spans="2:4" x14ac:dyDescent="0.25">
      <c r="B157" s="14">
        <f ca="1"/>
        <v>-430.95682281491099</v>
      </c>
      <c r="C157" s="57">
        <f t="array" aca="1" ref="C157" ca="1">IF(ISNUMBER(B157),(SUM(IF(B157&gt;Errors,1,0))+1+(SUM(IF(B157=Errors,1,0))-1)/2)/(n+1),"")</f>
        <v>0.45</v>
      </c>
      <c r="D157" s="57">
        <f t="shared" ca="1" si="1"/>
        <v>-0.12566134685507402</v>
      </c>
    </row>
    <row r="158" spans="2:4" x14ac:dyDescent="0.25">
      <c r="B158" s="14">
        <f ca="1"/>
        <v>1917.8275271044404</v>
      </c>
      <c r="C158" s="57">
        <f t="array" aca="1" ref="C158" ca="1">IF(ISNUMBER(B158),(SUM(IF(B158&gt;Errors,1,0))+1+(SUM(IF(B158=Errors,1,0))-1)/2)/(n+1),"")</f>
        <v>0.81499999999999995</v>
      </c>
      <c r="D158" s="57">
        <f t="shared" ca="1" si="1"/>
        <v>0.89647336400191591</v>
      </c>
    </row>
    <row r="159" spans="2:4" x14ac:dyDescent="0.25">
      <c r="B159" s="14">
        <f ca="1"/>
        <v>-1890.682224136126</v>
      </c>
      <c r="C159" s="57">
        <f t="array" aca="1" ref="C159" ca="1">IF(ISNUMBER(B159),(SUM(IF(B159&gt;Errors,1,0))+1+(SUM(IF(B159=Errors,1,0))-1)/2)/(n+1),"")</f>
        <v>0.17</v>
      </c>
      <c r="D159" s="57">
        <f t="shared" ca="1" si="1"/>
        <v>-0.95416525314619549</v>
      </c>
    </row>
    <row r="160" spans="2:4" x14ac:dyDescent="0.25">
      <c r="B160" s="14">
        <f ca="1"/>
        <v>-25.863078153153765</v>
      </c>
      <c r="C160" s="57">
        <f t="array" aca="1" ref="C160" ca="1">IF(ISNUMBER(B160),(SUM(IF(B160&gt;Errors,1,0))+1+(SUM(IF(B160=Errors,1,0))-1)/2)/(n+1),"")</f>
        <v>0.54</v>
      </c>
      <c r="D160" s="57">
        <f t="shared" ca="1" si="1"/>
        <v>0.10043372051146988</v>
      </c>
    </row>
    <row r="161" spans="2:4" x14ac:dyDescent="0.25">
      <c r="B161" s="14">
        <f ca="1"/>
        <v>-1143.0441883015919</v>
      </c>
      <c r="C161" s="57">
        <f t="array" aca="1" ref="C161" ca="1">IF(ISNUMBER(B161),(SUM(IF(B161&gt;Errors,1,0))+1+(SUM(IF(B161=Errors,1,0))-1)/2)/(n+1),"")</f>
        <v>0.3</v>
      </c>
      <c r="D161" s="57">
        <f t="shared" ca="1" si="1"/>
        <v>-0.52440051270804089</v>
      </c>
    </row>
    <row r="162" spans="2:4" x14ac:dyDescent="0.25">
      <c r="B162" s="14">
        <f ca="1"/>
        <v>318.36143309689578</v>
      </c>
      <c r="C162" s="57">
        <f t="array" aca="1" ref="C162" ca="1">IF(ISNUMBER(B162),(SUM(IF(B162&gt;Errors,1,0))+1+(SUM(IF(B162=Errors,1,0))-1)/2)/(n+1),"")</f>
        <v>0.60499999999999998</v>
      </c>
      <c r="D162" s="57">
        <f t="shared" ca="1" si="1"/>
        <v>0.26631061320409499</v>
      </c>
    </row>
    <row r="163" spans="2:4" x14ac:dyDescent="0.25">
      <c r="B163" s="14">
        <f ca="1"/>
        <v>-572.48844509675109</v>
      </c>
      <c r="C163" s="57">
        <f t="array" aca="1" ref="C163" ca="1">IF(ISNUMBER(B163),(SUM(IF(B163&gt;Errors,1,0))+1+(SUM(IF(B163=Errors,1,0))-1)/2)/(n+1),"")</f>
        <v>0.42499999999999999</v>
      </c>
      <c r="D163" s="57">
        <f t="shared" ca="1" si="1"/>
        <v>-0.18911842627279254</v>
      </c>
    </row>
    <row r="164" spans="2:4" x14ac:dyDescent="0.25">
      <c r="B164" s="14">
        <f ca="1"/>
        <v>-592.59643106802469</v>
      </c>
      <c r="C164" s="57">
        <f t="array" aca="1" ref="C164" ca="1">IF(ISNUMBER(B164),(SUM(IF(B164&gt;Errors,1,0))+1+(SUM(IF(B164=Errors,1,0))-1)/2)/(n+1),"")</f>
        <v>0.41499999999999998</v>
      </c>
      <c r="D164" s="57">
        <f t="shared" ca="1" si="1"/>
        <v>-0.21470156800174456</v>
      </c>
    </row>
    <row r="165" spans="2:4" x14ac:dyDescent="0.25">
      <c r="B165" s="14">
        <f ca="1"/>
        <v>1814.2277402668369</v>
      </c>
      <c r="C165" s="57">
        <f t="array" aca="1" ref="C165" ca="1">IF(ISNUMBER(B165),(SUM(IF(B165&gt;Errors,1,0))+1+(SUM(IF(B165=Errors,1,0))-1)/2)/(n+1),"")</f>
        <v>0.79500000000000004</v>
      </c>
      <c r="D165" s="57">
        <f t="shared" ca="1" si="1"/>
        <v>0.82389363033855767</v>
      </c>
    </row>
    <row r="166" spans="2:4" x14ac:dyDescent="0.25">
      <c r="B166" s="14">
        <f ca="1"/>
        <v>-688.82167788804873</v>
      </c>
      <c r="C166" s="57">
        <f t="array" aca="1" ref="C166" ca="1">IF(ISNUMBER(B166),(SUM(IF(B166&gt;Errors,1,0))+1+(SUM(IF(B166=Errors,1,0))-1)/2)/(n+1),"")</f>
        <v>0.38</v>
      </c>
      <c r="D166" s="57">
        <f t="shared" ca="1" si="1"/>
        <v>-0.30548078809939727</v>
      </c>
    </row>
    <row r="167" spans="2:4" x14ac:dyDescent="0.25">
      <c r="B167" s="14">
        <f ca="1"/>
        <v>-285.44558389437952</v>
      </c>
      <c r="C167" s="57">
        <f t="array" aca="1" ref="C167" ca="1">IF(ISNUMBER(B167),(SUM(IF(B167&gt;Errors,1,0))+1+(SUM(IF(B167=Errors,1,0))-1)/2)/(n+1),"")</f>
        <v>0.47</v>
      </c>
      <c r="D167" s="57">
        <f t="shared" ca="1" si="1"/>
        <v>-7.5269862099829901E-2</v>
      </c>
    </row>
    <row r="168" spans="2:4" x14ac:dyDescent="0.25">
      <c r="B168" s="14">
        <f ca="1"/>
        <v>-1577.6639102268782</v>
      </c>
      <c r="C168" s="57">
        <f t="array" aca="1" ref="C168" ca="1">IF(ISNUMBER(B168),(SUM(IF(B168&gt;Errors,1,0))+1+(SUM(IF(B168=Errors,1,0))-1)/2)/(n+1),"")</f>
        <v>0.22500000000000001</v>
      </c>
      <c r="D168" s="57">
        <f t="shared" ca="1" si="1"/>
        <v>-0.75541502636046909</v>
      </c>
    </row>
    <row r="169" spans="2:4" x14ac:dyDescent="0.25">
      <c r="B169" s="14">
        <f ca="1"/>
        <v>672.96237128525536</v>
      </c>
      <c r="C169" s="57">
        <f t="array" aca="1" ref="C169" ca="1">IF(ISNUMBER(B169),(SUM(IF(B169&gt;Errors,1,0))+1+(SUM(IF(B169=Errors,1,0))-1)/2)/(n+1),"")</f>
        <v>0.69</v>
      </c>
      <c r="D169" s="57">
        <f t="shared" ca="1" si="1"/>
        <v>0.49585034734745331</v>
      </c>
    </row>
    <row r="170" spans="2:4" x14ac:dyDescent="0.25">
      <c r="B170" s="14">
        <f ca="1"/>
        <v>155.84470591342688</v>
      </c>
      <c r="C170" s="57">
        <f t="array" aca="1" ref="C170" ca="1">IF(ISNUMBER(B170),(SUM(IF(B170&gt;Errors,1,0))+1+(SUM(IF(B170=Errors,1,0))-1)/2)/(n+1),"")</f>
        <v>0.56499999999999995</v>
      </c>
      <c r="D170" s="57">
        <f t="shared" ca="1" si="1"/>
        <v>0.16365848623314114</v>
      </c>
    </row>
    <row r="171" spans="2:4" x14ac:dyDescent="0.25">
      <c r="B171" s="14">
        <f ca="1"/>
        <v>-144.46144401136189</v>
      </c>
      <c r="C171" s="57">
        <f t="array" aca="1" ref="C171" ca="1">IF(ISNUMBER(B171),(SUM(IF(B171&gt;Errors,1,0))+1+(SUM(IF(B171=Errors,1,0))-1)/2)/(n+1),"")</f>
        <v>0.5</v>
      </c>
      <c r="D171" s="57">
        <f t="shared" ca="1" si="1"/>
        <v>0</v>
      </c>
    </row>
    <row r="172" spans="2:4" x14ac:dyDescent="0.25">
      <c r="B172" s="14">
        <f ca="1"/>
        <v>496.80529265157747</v>
      </c>
      <c r="C172" s="57">
        <f t="array" aca="1" ref="C172" ca="1">IF(ISNUMBER(B172),(SUM(IF(B172&gt;Errors,1,0))+1+(SUM(IF(B172=Errors,1,0))-1)/2)/(n+1),"")</f>
        <v>0.66</v>
      </c>
      <c r="D172" s="57">
        <f t="shared" ca="1" si="1"/>
        <v>0.41246312944140473</v>
      </c>
    </row>
    <row r="173" spans="2:4" x14ac:dyDescent="0.25">
      <c r="B173" s="14">
        <f ca="1"/>
        <v>-1756.1566874674609</v>
      </c>
      <c r="C173" s="57">
        <f t="array" aca="1" ref="C173" ca="1">IF(ISNUMBER(B173),(SUM(IF(B173&gt;Errors,1,0))+1+(SUM(IF(B173=Errors,1,0))-1)/2)/(n+1),"")</f>
        <v>0.19</v>
      </c>
      <c r="D173" s="57">
        <f t="shared" ca="1" si="1"/>
        <v>-0.87789629505122846</v>
      </c>
    </row>
    <row r="174" spans="2:4" x14ac:dyDescent="0.25">
      <c r="B174" s="14">
        <f ca="1"/>
        <v>-2107.8183861109828</v>
      </c>
      <c r="C174" s="57">
        <f t="array" aca="1" ref="C174" ca="1">IF(ISNUMBER(B174),(SUM(IF(B174&gt;Errors,1,0))+1+(SUM(IF(B174=Errors,1,0))-1)/2)/(n+1),"")</f>
        <v>0.13500000000000001</v>
      </c>
      <c r="D174" s="57">
        <f t="shared" ca="1" si="1"/>
        <v>-1.1030625561995977</v>
      </c>
    </row>
    <row r="175" spans="2:4" x14ac:dyDescent="0.25">
      <c r="B175" s="14">
        <f ca="1"/>
        <v>1819.6499820948266</v>
      </c>
      <c r="C175" s="57">
        <f t="array" aca="1" ref="C175" ca="1">IF(ISNUMBER(B175),(SUM(IF(B175&gt;Errors,1,0))+1+(SUM(IF(B175=Errors,1,0))-1)/2)/(n+1),"")</f>
        <v>0.8</v>
      </c>
      <c r="D175" s="57">
        <f t="shared" ca="1" si="1"/>
        <v>0.84162123357291474</v>
      </c>
    </row>
    <row r="176" spans="2:4" x14ac:dyDescent="0.25">
      <c r="B176" s="14">
        <f ca="1"/>
        <v>-1569.6056200782368</v>
      </c>
      <c r="C176" s="57">
        <f t="array" aca="1" ref="C176" ca="1">IF(ISNUMBER(B176),(SUM(IF(B176&gt;Errors,1,0))+1+(SUM(IF(B176=Errors,1,0))-1)/2)/(n+1),"")</f>
        <v>0.23</v>
      </c>
      <c r="D176" s="57">
        <f t="shared" ca="1" si="1"/>
        <v>-0.73884684918521393</v>
      </c>
    </row>
    <row r="177" spans="2:4" x14ac:dyDescent="0.25">
      <c r="B177" s="14">
        <f ca="1"/>
        <v>-2120.2498541654604</v>
      </c>
      <c r="C177" s="57">
        <f t="array" aca="1" ref="C177" ca="1">IF(ISNUMBER(B177),(SUM(IF(B177&gt;Errors,1,0))+1+(SUM(IF(B177=Errors,1,0))-1)/2)/(n+1),"")</f>
        <v>0.13</v>
      </c>
      <c r="D177" s="57">
        <f t="shared" ca="1" si="1"/>
        <v>-1.1263911290388013</v>
      </c>
    </row>
    <row r="178" spans="2:4" x14ac:dyDescent="0.25">
      <c r="B178" s="14">
        <f ca="1"/>
        <v>9.5095702284124854</v>
      </c>
      <c r="C178" s="57">
        <f t="array" aca="1" ref="C178" ca="1">IF(ISNUMBER(B178),(SUM(IF(B178&gt;Errors,1,0))+1+(SUM(IF(B178=Errors,1,0))-1)/2)/(n+1),"")</f>
        <v>0.55000000000000004</v>
      </c>
      <c r="D178" s="57">
        <f t="shared" ca="1" si="1"/>
        <v>0.12566134685507416</v>
      </c>
    </row>
    <row r="179" spans="2:4" x14ac:dyDescent="0.25">
      <c r="B179" s="14">
        <f ca="1"/>
        <v>-2000.647574990915</v>
      </c>
      <c r="C179" s="57">
        <f t="array" aca="1" ref="C179" ca="1">IF(ISNUMBER(B179),(SUM(IF(B179&gt;Errors,1,0))+1+(SUM(IF(B179=Errors,1,0))-1)/2)/(n+1),"")</f>
        <v>0.16</v>
      </c>
      <c r="D179" s="57">
        <f t="shared" ca="1" si="1"/>
        <v>-0.9944578832097497</v>
      </c>
    </row>
    <row r="180" spans="2:4" x14ac:dyDescent="0.25">
      <c r="B180" s="14">
        <f ca="1"/>
        <v>-2501.2254303265654</v>
      </c>
      <c r="C180" s="57">
        <f t="array" aca="1" ref="C180" ca="1">IF(ISNUMBER(B180),(SUM(IF(B180&gt;Errors,1,0))+1+(SUM(IF(B180=Errors,1,0))-1)/2)/(n+1),"")</f>
        <v>0.08</v>
      </c>
      <c r="D180" s="57">
        <f t="shared" ca="1" si="1"/>
        <v>-1.4050715603096353</v>
      </c>
    </row>
    <row r="181" spans="2:4" x14ac:dyDescent="0.25">
      <c r="B181" s="14">
        <f ca="1"/>
        <v>-2122.6912854619404</v>
      </c>
      <c r="C181" s="57">
        <f t="array" aca="1" ref="C181" ca="1">IF(ISNUMBER(B181),(SUM(IF(B181&gt;Errors,1,0))+1+(SUM(IF(B181=Errors,1,0))-1)/2)/(n+1),"")</f>
        <v>0.12</v>
      </c>
      <c r="D181" s="57">
        <f t="shared" ca="1" si="1"/>
        <v>-1.1749867920660904</v>
      </c>
    </row>
    <row r="182" spans="2:4" x14ac:dyDescent="0.25">
      <c r="B182" s="14">
        <f ca="1"/>
        <v>-30.55007664979712</v>
      </c>
      <c r="C182" s="57">
        <f t="array" aca="1" ref="C182" ca="1">IF(ISNUMBER(B182),(SUM(IF(B182&gt;Errors,1,0))+1+(SUM(IF(B182=Errors,1,0))-1)/2)/(n+1),"")</f>
        <v>0.53500000000000003</v>
      </c>
      <c r="D182" s="57">
        <f t="shared" ca="1" si="1"/>
        <v>8.7844837895871816E-2</v>
      </c>
    </row>
    <row r="183" spans="2:4" x14ac:dyDescent="0.25">
      <c r="B183" s="14">
        <f ca="1"/>
        <v>810.10875507580204</v>
      </c>
      <c r="C183" s="57">
        <f t="array" aca="1" ref="C183" ca="1">IF(ISNUMBER(B183),(SUM(IF(B183&gt;Errors,1,0))+1+(SUM(IF(B183=Errors,1,0))-1)/2)/(n+1),"")</f>
        <v>0.72499999999999998</v>
      </c>
      <c r="D183" s="57">
        <f t="shared" ca="1" si="1"/>
        <v>0.59776012604247841</v>
      </c>
    </row>
    <row r="184" spans="2:4" x14ac:dyDescent="0.25">
      <c r="B184" s="14">
        <f ca="1"/>
        <v>-3095.6583669976899</v>
      </c>
      <c r="C184" s="57">
        <f t="array" aca="1" ref="C184" ca="1">IF(ISNUMBER(B184),(SUM(IF(B184&gt;Errors,1,0))+1+(SUM(IF(B184=Errors,1,0))-1)/2)/(n+1),"")</f>
        <v>5.5E-2</v>
      </c>
      <c r="D184" s="57">
        <f t="shared" ca="1" si="1"/>
        <v>-1.5981931399228173</v>
      </c>
    </row>
    <row r="185" spans="2:4" x14ac:dyDescent="0.25">
      <c r="B185" s="14">
        <f ca="1"/>
        <v>-2552.7511687179249</v>
      </c>
      <c r="C185" s="57">
        <f t="array" aca="1" ref="C185" ca="1">IF(ISNUMBER(B185),(SUM(IF(B185&gt;Errors,1,0))+1+(SUM(IF(B185=Errors,1,0))-1)/2)/(n+1),"")</f>
        <v>7.4999999999999997E-2</v>
      </c>
      <c r="D185" s="57">
        <f t="shared" ca="1" si="1"/>
        <v>-1.4395314709384572</v>
      </c>
    </row>
    <row r="186" spans="2:4" x14ac:dyDescent="0.25">
      <c r="B186" s="14">
        <f ca="1"/>
        <v>-642.63144284056762</v>
      </c>
      <c r="C186" s="57">
        <f t="array" aca="1" ref="C186" ca="1">IF(ISNUMBER(B186),(SUM(IF(B186&gt;Errors,1,0))+1+(SUM(IF(B186=Errors,1,0))-1)/2)/(n+1),"")</f>
        <v>0.4</v>
      </c>
      <c r="D186" s="57">
        <f t="shared" ca="1" si="1"/>
        <v>-0.25334710313579978</v>
      </c>
    </row>
    <row r="187" spans="2:4" x14ac:dyDescent="0.25">
      <c r="B187" s="14">
        <f ca="1"/>
        <v>-1137.8552850937813</v>
      </c>
      <c r="C187" s="57">
        <f t="array" aca="1" ref="C187" ca="1">IF(ISNUMBER(B187),(SUM(IF(B187&gt;Errors,1,0))+1+(SUM(IF(B187=Errors,1,0))-1)/2)/(n+1),"")</f>
        <v>0.30499999999999999</v>
      </c>
      <c r="D187" s="57">
        <f t="shared" ca="1" si="1"/>
        <v>-0.51007345696859485</v>
      </c>
    </row>
    <row r="188" spans="2:4" x14ac:dyDescent="0.25">
      <c r="B188" s="14">
        <f ca="1"/>
        <v>-4143.910274304606</v>
      </c>
      <c r="C188" s="57">
        <f t="array" aca="1" ref="C188" ca="1">IF(ISNUMBER(B188),(SUM(IF(B188&gt;Errors,1,0))+1+(SUM(IF(B188=Errors,1,0))-1)/2)/(n+1),"")</f>
        <v>2.5000000000000001E-2</v>
      </c>
      <c r="D188" s="57">
        <f t="shared" ca="1" si="1"/>
        <v>-1.9599639845400538</v>
      </c>
    </row>
    <row r="189" spans="2:4" x14ac:dyDescent="0.25">
      <c r="B189" s="14">
        <f ca="1"/>
        <v>-4495.571972948128</v>
      </c>
      <c r="C189" s="57">
        <f t="array" aca="1" ref="C189" ca="1">IF(ISNUMBER(B189),(SUM(IF(B189&gt;Errors,1,0))+1+(SUM(IF(B189=Errors,1,0))-1)/2)/(n+1),"")</f>
        <v>1.4999999999999999E-2</v>
      </c>
      <c r="D189" s="57">
        <f t="shared" ca="1" si="1"/>
        <v>-2.1700903775845601</v>
      </c>
    </row>
    <row r="190" spans="2:4" x14ac:dyDescent="0.25">
      <c r="B190" s="14">
        <f ca="1"/>
        <v>-1495.823123937902</v>
      </c>
      <c r="C190" s="57">
        <f t="array" aca="1" ref="C190" ca="1">IF(ISNUMBER(B190),(SUM(IF(B190&gt;Errors,1,0))+1+(SUM(IF(B190=Errors,1,0))-1)/2)/(n+1),"")</f>
        <v>0.25</v>
      </c>
      <c r="D190" s="57">
        <f t="shared" ca="1" si="1"/>
        <v>-0.67448975019608193</v>
      </c>
    </row>
    <row r="191" spans="2:4" x14ac:dyDescent="0.25">
      <c r="B191" s="14">
        <f ca="1"/>
        <v>-1383.4915457224743</v>
      </c>
      <c r="C191" s="57">
        <f t="array" aca="1" ref="C191" ca="1">IF(ISNUMBER(B191),(SUM(IF(B191&gt;Errors,1,0))+1+(SUM(IF(B191=Errors,1,0))-1)/2)/(n+1),"")</f>
        <v>0.27</v>
      </c>
      <c r="D191" s="57">
        <f t="shared" ca="1" si="1"/>
        <v>-0.61281299101662734</v>
      </c>
    </row>
    <row r="192" spans="2:4" x14ac:dyDescent="0.25">
      <c r="B192" s="14">
        <f ca="1"/>
        <v>752.60699535316962</v>
      </c>
      <c r="C192" s="57">
        <f t="array" aca="1" ref="C192" ca="1">IF(ISNUMBER(B192),(SUM(IF(B192&gt;Errors,1,0))+1+(SUM(IF(B192=Errors,1,0))-1)/2)/(n+1),"")</f>
        <v>0.71499999999999997</v>
      </c>
      <c r="D192" s="57">
        <f t="shared" ca="1" si="1"/>
        <v>0.56805149833898272</v>
      </c>
    </row>
    <row r="193" spans="2:4" x14ac:dyDescent="0.25">
      <c r="B193" s="14">
        <f ca="1"/>
        <v>-3971.4892889695348</v>
      </c>
      <c r="C193" s="57">
        <f t="array" aca="1" ref="C193" ca="1">IF(ISNUMBER(B193),(SUM(IF(B193&gt;Errors,1,0))+1+(SUM(IF(B193=Errors,1,0))-1)/2)/(n+1),"")</f>
        <v>0.03</v>
      </c>
      <c r="D193" s="57">
        <f t="shared" ca="1" si="1"/>
        <v>-1.8807936081512509</v>
      </c>
    </row>
    <row r="194" spans="2:4" x14ac:dyDescent="0.25">
      <c r="B194" s="14">
        <f ca="1"/>
        <v>1997.7194499920734</v>
      </c>
      <c r="C194" s="57">
        <f t="array" aca="1" ref="C194" ca="1">IF(ISNUMBER(B194),(SUM(IF(B194&gt;Errors,1,0))+1+(SUM(IF(B194=Errors,1,0))-1)/2)/(n+1),"")</f>
        <v>0.83</v>
      </c>
      <c r="D194" s="57">
        <f t="shared" ca="1" si="1"/>
        <v>0.95416525314619549</v>
      </c>
    </row>
    <row r="195" spans="2:4" x14ac:dyDescent="0.25">
      <c r="B195" s="14">
        <f ca="1"/>
        <v>-4701.7137319697249</v>
      </c>
      <c r="C195" s="57">
        <f t="array" aca="1" ref="C195" ca="1">IF(ISNUMBER(B195),(SUM(IF(B195&gt;Errors,1,0))+1+(SUM(IF(B195=Errors,1,0))-1)/2)/(n+1),"")</f>
        <v>0.01</v>
      </c>
      <c r="D195" s="57">
        <f t="shared" ca="1" si="1"/>
        <v>-2.3263478740408408</v>
      </c>
    </row>
    <row r="196" spans="2:4" x14ac:dyDescent="0.25">
      <c r="B196" s="14">
        <f ca="1"/>
        <v>-5040.5985235223816</v>
      </c>
      <c r="C196" s="57">
        <f t="array" aca="1" ref="C196" ca="1">IF(ISNUMBER(B196),(SUM(IF(B196&gt;Errors,1,0))+1+(SUM(IF(B196=Errors,1,0))-1)/2)/(n+1),"")</f>
        <v>5.0000000000000001E-3</v>
      </c>
      <c r="D196" s="57">
        <f t="shared" ca="1" si="1"/>
        <v>-2.5758293035488999</v>
      </c>
    </row>
    <row r="197" spans="2:4" x14ac:dyDescent="0.25">
      <c r="B197" s="14">
        <f ca="1"/>
        <v>1538.8712137518851</v>
      </c>
      <c r="C197" s="57">
        <f t="array" aca="1" ref="C197" ca="1">IF(ISNUMBER(B197),(SUM(IF(B197&gt;Errors,1,0))+1+(SUM(IF(B197=Errors,1,0))-1)/2)/(n+1),"")</f>
        <v>0.78500000000000003</v>
      </c>
      <c r="D197" s="57">
        <f t="shared" ca="1" si="1"/>
        <v>0.78919165265822189</v>
      </c>
    </row>
    <row r="198" spans="2:4" x14ac:dyDescent="0.25">
      <c r="B198" s="14">
        <f ca="1"/>
        <v>3085.9411364878215</v>
      </c>
      <c r="C198" s="57">
        <f t="array" aca="1" ref="C198" ca="1">IF(ISNUMBER(B198),(SUM(IF(B198&gt;Errors,1,0))+1+(SUM(IF(B198=Errors,1,0))-1)/2)/(n+1),"")</f>
        <v>0.94</v>
      </c>
      <c r="D198" s="57">
        <f t="shared" ca="1" si="1"/>
        <v>1.5547735945968528</v>
      </c>
    </row>
    <row r="199" spans="2:4" x14ac:dyDescent="0.25">
      <c r="B199" s="14">
        <f ca="1"/>
        <v>-1407.041535736993</v>
      </c>
      <c r="C199" s="57">
        <f t="array" aca="1" ref="C199" ca="1">IF(ISNUMBER(B199),(SUM(IF(B199&gt;Errors,1,0))+1+(SUM(IF(B199=Errors,1,0))-1)/2)/(n+1),"")</f>
        <v>0.26</v>
      </c>
      <c r="D199" s="57">
        <f t="shared" ca="1" si="1"/>
        <v>-0.64334540539291696</v>
      </c>
    </row>
    <row r="200" spans="2:4" x14ac:dyDescent="0.25">
      <c r="B200" s="14">
        <f ca="1"/>
        <v>1931.4171681985608</v>
      </c>
      <c r="C200" s="57">
        <f t="array" aca="1" ref="C200" ca="1">IF(ISNUMBER(B200),(SUM(IF(B200&gt;Errors,1,0))+1+(SUM(IF(B200=Errors,1,0))-1)/2)/(n+1),"")</f>
        <v>0.82</v>
      </c>
      <c r="D200" s="57">
        <f t="shared" ca="1" si="1"/>
        <v>0.91536508784281256</v>
      </c>
    </row>
    <row r="201" spans="2:4" x14ac:dyDescent="0.25">
      <c r="B201" s="14">
        <f ca="1"/>
        <v>2855.8646456972492</v>
      </c>
      <c r="C201" s="57">
        <f t="array" aca="1" ref="C201" ca="1">IF(ISNUMBER(B201),(SUM(IF(B201&gt;Errors,1,0))+1+(SUM(IF(B201=Errors,1,0))-1)/2)/(n+1),"")</f>
        <v>0.92500000000000004</v>
      </c>
      <c r="D201" s="57">
        <f t="shared" ca="1" si="1"/>
        <v>1.4395314709384563</v>
      </c>
    </row>
    <row r="202" spans="2:4" x14ac:dyDescent="0.25">
      <c r="B202" s="14">
        <f ca="1"/>
        <v>-2130.3109795143209</v>
      </c>
      <c r="C202" s="57">
        <f t="array" aca="1" ref="C202" ca="1">IF(ISNUMBER(B202),(SUM(IF(B202&gt;Errors,1,0))+1+(SUM(IF(B202=Errors,1,0))-1)/2)/(n+1),"")</f>
        <v>0.11</v>
      </c>
      <c r="D202" s="57">
        <f t="shared" ca="1" si="1"/>
        <v>-1.2265281200366105</v>
      </c>
    </row>
    <row r="203" spans="2:4" x14ac:dyDescent="0.25">
      <c r="B203" s="14" t="str">
        <f ca="1"/>
        <v/>
      </c>
      <c r="C203" s="57" t="str">
        <f t="array" aca="1" ref="C203" ca="1">IF(ISNUMBER(B203),(SUM(IF(B203&gt;Errors,1,0))+1+(SUM(IF(B203=Errors,1,0))-1)/2)/(n+1),"")</f>
        <v/>
      </c>
      <c r="D203" s="57" t="str">
        <f t="shared" ca="1" si="1"/>
        <v/>
      </c>
    </row>
  </sheetData>
  <sheetProtection sheet="1" objects="1" scenarios="1"/>
  <mergeCells count="1">
    <mergeCell ref="H1:J1"/>
  </mergeCells>
  <phoneticPr fontId="14" type="noConversion"/>
  <printOptions headings="1" gridLinesSet="0"/>
  <pageMargins left="0.75" right="0.75" top="1" bottom="1" header="0.5" footer="0.5"/>
  <pageSetup scale="89" orientation="landscape" horizontalDpi="100" verticalDpi="1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Drop Down 2">
              <controlPr defaultSize="0" autoFill="0" autoLine="0" autoPict="0">
                <anchor moveWithCells="1">
                  <from>
                    <xdr:col>12</xdr:col>
                    <xdr:colOff>83820</xdr:colOff>
                    <xdr:row>13</xdr:row>
                    <xdr:rowOff>38100</xdr:rowOff>
                  </from>
                  <to>
                    <xdr:col>17</xdr:col>
                    <xdr:colOff>99060</xdr:colOff>
                    <xdr:row>14</xdr:row>
                    <xdr:rowOff>99060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16"/>
  <sheetViews>
    <sheetView showGridLines="0" zoomScale="80" zoomScaleNormal="80" workbookViewId="0">
      <selection activeCell="B19" sqref="B19"/>
    </sheetView>
  </sheetViews>
  <sheetFormatPr defaultRowHeight="13.2" x14ac:dyDescent="0.25"/>
  <cols>
    <col min="1" max="1" width="4" customWidth="1"/>
    <col min="3" max="12" width="7.44140625" customWidth="1"/>
    <col min="13" max="13" width="2.109375" customWidth="1"/>
  </cols>
  <sheetData>
    <row r="1" spans="1:14" ht="15.6" x14ac:dyDescent="0.3">
      <c r="A1" s="41" t="s">
        <v>61</v>
      </c>
      <c r="E1" s="86" t="str">
        <f>Data!F1</f>
        <v>Exports</v>
      </c>
      <c r="F1" s="87"/>
      <c r="G1" s="88"/>
    </row>
    <row r="3" spans="1:14" x14ac:dyDescent="0.25">
      <c r="C3" s="85">
        <v>1</v>
      </c>
      <c r="D3" s="85">
        <v>2</v>
      </c>
      <c r="E3" s="85">
        <v>3</v>
      </c>
      <c r="F3" s="85">
        <v>4</v>
      </c>
      <c r="G3" s="85">
        <v>5</v>
      </c>
      <c r="H3" s="85">
        <v>6</v>
      </c>
      <c r="I3" s="85">
        <v>7</v>
      </c>
      <c r="J3" s="85">
        <v>8</v>
      </c>
      <c r="K3" s="85">
        <v>9</v>
      </c>
      <c r="L3" s="85">
        <v>10</v>
      </c>
      <c r="N3" s="54" t="s">
        <v>64</v>
      </c>
    </row>
    <row r="4" spans="1:14" x14ac:dyDescent="0.25">
      <c r="C4" s="84" t="str">
        <f>IF(Data!D4&lt;&gt;"",Data!D4,"")</f>
        <v>Age_08_04</v>
      </c>
      <c r="D4" s="84" t="str">
        <f>IF(Data!E4&lt;&gt;"",Data!E4,"")</f>
        <v>Mfg_Month</v>
      </c>
      <c r="E4" s="84" t="str">
        <f>IF(Data!F4&lt;&gt;"",Data!F4,"")</f>
        <v>KM</v>
      </c>
      <c r="F4" s="84" t="str">
        <f>IF(Data!G4&lt;&gt;"",Data!G4,"")</f>
        <v>HP</v>
      </c>
      <c r="G4" s="84" t="str">
        <f>IF(Data!H4&lt;&gt;"",Data!H4,"")</f>
        <v>Met_Color</v>
      </c>
      <c r="H4" s="84" t="str">
        <f>IF(Data!I4&lt;&gt;"",Data!I4,"")</f>
        <v>Automatic</v>
      </c>
      <c r="I4" s="84" t="str">
        <f>IF(Data!J4&lt;&gt;"",Data!J4,"")</f>
        <v/>
      </c>
      <c r="J4" s="84" t="str">
        <f>IF(Data!K4&lt;&gt;"",Data!K4,"")</f>
        <v/>
      </c>
      <c r="K4" s="84" t="str">
        <f>IF(Data!L4&lt;&gt;"",Data!L4,"")</f>
        <v/>
      </c>
      <c r="L4" s="84" t="str">
        <f>IF(Data!M4&lt;&gt;"",Data!M4,"")</f>
        <v/>
      </c>
    </row>
    <row r="5" spans="1:14" x14ac:dyDescent="0.25">
      <c r="A5">
        <v>1</v>
      </c>
      <c r="B5" s="83" t="str">
        <f>C4</f>
        <v>Age_08_04</v>
      </c>
      <c r="C5" s="45">
        <v>1</v>
      </c>
      <c r="D5" s="45"/>
      <c r="E5" s="45"/>
      <c r="F5" s="45"/>
      <c r="G5" s="45"/>
      <c r="H5" s="45"/>
      <c r="I5" s="45"/>
      <c r="J5" s="45"/>
      <c r="K5" s="45"/>
      <c r="L5" s="45"/>
    </row>
    <row r="6" spans="1:14" x14ac:dyDescent="0.25">
      <c r="A6">
        <v>2</v>
      </c>
      <c r="B6" s="83" t="str">
        <f>D4</f>
        <v>Mfg_Month</v>
      </c>
      <c r="C6" s="45">
        <f ca="1">IF(AND($B6&lt;&gt;"",C$4&lt;&gt;""),CORREL(OFFSET(X,0,$A6-1,n,1),OFFSET(X,0,C$3-1,n,1)),"")</f>
        <v>-0.12385429806031761</v>
      </c>
      <c r="D6" s="45">
        <f>IF(B6&lt;&gt;"",1,"")</f>
        <v>1</v>
      </c>
      <c r="E6" s="45"/>
      <c r="F6" s="45"/>
      <c r="G6" s="45"/>
      <c r="H6" s="45"/>
      <c r="I6" s="45"/>
      <c r="J6" s="45"/>
      <c r="K6" s="45"/>
      <c r="L6" s="45"/>
    </row>
    <row r="7" spans="1:14" x14ac:dyDescent="0.25">
      <c r="A7">
        <v>3</v>
      </c>
      <c r="B7" s="83" t="str">
        <f>E4</f>
        <v>KM</v>
      </c>
      <c r="C7" s="45">
        <f ca="1">IF(AND($B7&lt;&gt;"",C$4&lt;&gt;""),CORREL(OFFSET(X,0,$A7-1,n,1),OFFSET(X,0,C$3-1,n,1)),"")</f>
        <v>0.6992517258484785</v>
      </c>
      <c r="D7" s="45">
        <f ca="1">IF(AND($B7&lt;&gt;"",D$4&lt;&gt;""),CORREL(OFFSET(X,0,$A7-1,n,1),OFFSET(X,0,D$3-1,n,1)),"")</f>
        <v>-2.8477981122388855E-2</v>
      </c>
      <c r="E7" s="45">
        <f>IF($B7&lt;&gt;"",1,"")</f>
        <v>1</v>
      </c>
      <c r="F7" s="45"/>
      <c r="G7" s="45"/>
      <c r="H7" s="45"/>
      <c r="I7" s="45"/>
      <c r="J7" s="45"/>
      <c r="K7" s="45"/>
      <c r="L7" s="45"/>
    </row>
    <row r="8" spans="1:14" x14ac:dyDescent="0.25">
      <c r="A8">
        <v>4</v>
      </c>
      <c r="B8" s="83" t="str">
        <f>F4</f>
        <v>HP</v>
      </c>
      <c r="C8" s="45">
        <f t="shared" ref="C8:K14" ca="1" si="0">IF(AND($B8&lt;&gt;"",C$4&lt;&gt;""),CORREL(OFFSET(X,0,$A8-1,n,1),OFFSET(X,0,C$3-1,n,1)),"")</f>
        <v>-5.9126497300933979E-2</v>
      </c>
      <c r="D8" s="45">
        <f t="shared" ca="1" si="0"/>
        <v>-3.8541060737390088E-3</v>
      </c>
      <c r="E8" s="45">
        <f t="shared" ca="1" si="0"/>
        <v>-0.27847773593835934</v>
      </c>
      <c r="F8" s="45">
        <f>IF($B8&lt;&gt;"",1,"")</f>
        <v>1</v>
      </c>
      <c r="G8" s="45"/>
      <c r="H8" s="45"/>
      <c r="I8" s="45"/>
      <c r="J8" s="45"/>
      <c r="K8" s="45"/>
      <c r="L8" s="45"/>
    </row>
    <row r="9" spans="1:14" x14ac:dyDescent="0.25">
      <c r="A9">
        <v>5</v>
      </c>
      <c r="B9" s="83" t="str">
        <f>G4</f>
        <v>Met_Color</v>
      </c>
      <c r="C9" s="45">
        <f t="shared" ca="1" si="0"/>
        <v>-0.11525360838391621</v>
      </c>
      <c r="D9" s="45">
        <f t="shared" ca="1" si="0"/>
        <v>-4.0834418381557651E-2</v>
      </c>
      <c r="E9" s="45">
        <f t="shared" ca="1" si="0"/>
        <v>-0.16416164699074987</v>
      </c>
      <c r="F9" s="45">
        <f t="shared" ca="1" si="0"/>
        <v>-6.7895976028811325E-2</v>
      </c>
      <c r="G9" s="45">
        <f>IF($B9&lt;&gt;"",1,"")</f>
        <v>1</v>
      </c>
      <c r="H9" s="45"/>
      <c r="I9" s="45"/>
      <c r="J9" s="45"/>
      <c r="K9" s="45"/>
      <c r="L9" s="45"/>
    </row>
    <row r="10" spans="1:14" x14ac:dyDescent="0.25">
      <c r="A10">
        <v>6</v>
      </c>
      <c r="B10" s="83" t="str">
        <f>H4</f>
        <v>Automatic</v>
      </c>
      <c r="C10" s="45">
        <f t="shared" ca="1" si="0"/>
        <v>1.6108371707344615E-3</v>
      </c>
      <c r="D10" s="45">
        <f t="shared" ca="1" si="0"/>
        <v>8.1514526095983711E-2</v>
      </c>
      <c r="E10" s="45">
        <f t="shared" ca="1" si="0"/>
        <v>-6.6730975588160352E-2</v>
      </c>
      <c r="F10" s="45">
        <f t="shared" ca="1" si="0"/>
        <v>3.5442101197880375E-2</v>
      </c>
      <c r="G10" s="45">
        <f t="shared" ca="1" si="0"/>
        <v>-6.9223002801749797E-2</v>
      </c>
      <c r="H10" s="45">
        <f>IF($B10&lt;&gt;"",1,"")</f>
        <v>1</v>
      </c>
      <c r="I10" s="45"/>
      <c r="J10" s="45"/>
      <c r="K10" s="45"/>
      <c r="L10" s="45"/>
    </row>
    <row r="11" spans="1:14" x14ac:dyDescent="0.25">
      <c r="A11">
        <v>7</v>
      </c>
      <c r="B11" s="83" t="str">
        <f>I4</f>
        <v/>
      </c>
      <c r="C11" s="45" t="str">
        <f t="shared" ca="1" si="0"/>
        <v/>
      </c>
      <c r="D11" s="45" t="str">
        <f t="shared" ca="1" si="0"/>
        <v/>
      </c>
      <c r="E11" s="45" t="str">
        <f t="shared" ca="1" si="0"/>
        <v/>
      </c>
      <c r="F11" s="45" t="str">
        <f t="shared" ca="1" si="0"/>
        <v/>
      </c>
      <c r="G11" s="45" t="str">
        <f t="shared" ca="1" si="0"/>
        <v/>
      </c>
      <c r="H11" s="45" t="str">
        <f t="shared" ca="1" si="0"/>
        <v/>
      </c>
      <c r="I11" s="45" t="str">
        <f>IF($B11&lt;&gt;"",1,"")</f>
        <v/>
      </c>
      <c r="J11" s="45"/>
      <c r="K11" s="45"/>
      <c r="L11" s="45"/>
    </row>
    <row r="12" spans="1:14" x14ac:dyDescent="0.25">
      <c r="A12">
        <v>8</v>
      </c>
      <c r="B12" s="83" t="str">
        <f>J4</f>
        <v/>
      </c>
      <c r="C12" s="45" t="str">
        <f t="shared" ca="1" si="0"/>
        <v/>
      </c>
      <c r="D12" s="45" t="str">
        <f t="shared" ca="1" si="0"/>
        <v/>
      </c>
      <c r="E12" s="45" t="str">
        <f t="shared" ca="1" si="0"/>
        <v/>
      </c>
      <c r="F12" s="45" t="str">
        <f t="shared" ca="1" si="0"/>
        <v/>
      </c>
      <c r="G12" s="45" t="str">
        <f t="shared" ca="1" si="0"/>
        <v/>
      </c>
      <c r="H12" s="45" t="str">
        <f t="shared" ca="1" si="0"/>
        <v/>
      </c>
      <c r="I12" s="45" t="str">
        <f t="shared" ca="1" si="0"/>
        <v/>
      </c>
      <c r="J12" s="45" t="str">
        <f>IF($B12&lt;&gt;"",1,"")</f>
        <v/>
      </c>
      <c r="K12" s="45"/>
      <c r="L12" s="45"/>
    </row>
    <row r="13" spans="1:14" x14ac:dyDescent="0.25">
      <c r="A13">
        <v>9</v>
      </c>
      <c r="B13" s="83" t="str">
        <f>K4</f>
        <v/>
      </c>
      <c r="C13" s="45" t="str">
        <f t="shared" ca="1" si="0"/>
        <v/>
      </c>
      <c r="D13" s="45" t="str">
        <f t="shared" ca="1" si="0"/>
        <v/>
      </c>
      <c r="E13" s="45" t="str">
        <f t="shared" ca="1" si="0"/>
        <v/>
      </c>
      <c r="F13" s="45" t="str">
        <f t="shared" ca="1" si="0"/>
        <v/>
      </c>
      <c r="G13" s="45" t="str">
        <f t="shared" ca="1" si="0"/>
        <v/>
      </c>
      <c r="H13" s="45" t="str">
        <f t="shared" ca="1" si="0"/>
        <v/>
      </c>
      <c r="I13" s="45" t="str">
        <f t="shared" ca="1" si="0"/>
        <v/>
      </c>
      <c r="J13" s="45" t="str">
        <f t="shared" ca="1" si="0"/>
        <v/>
      </c>
      <c r="K13" s="45" t="str">
        <f>IF($B13&lt;&gt;"",1,"")</f>
        <v/>
      </c>
      <c r="L13" s="45"/>
    </row>
    <row r="14" spans="1:14" x14ac:dyDescent="0.25">
      <c r="A14">
        <v>10</v>
      </c>
      <c r="B14" s="83" t="str">
        <f>L4</f>
        <v/>
      </c>
      <c r="C14" s="45" t="str">
        <f t="shared" ca="1" si="0"/>
        <v/>
      </c>
      <c r="D14" s="45" t="str">
        <f t="shared" ca="1" si="0"/>
        <v/>
      </c>
      <c r="E14" s="45" t="str">
        <f t="shared" ca="1" si="0"/>
        <v/>
      </c>
      <c r="F14" s="45" t="str">
        <f t="shared" ca="1" si="0"/>
        <v/>
      </c>
      <c r="G14" s="45" t="str">
        <f t="shared" ca="1" si="0"/>
        <v/>
      </c>
      <c r="H14" s="45" t="str">
        <f t="shared" ca="1" si="0"/>
        <v/>
      </c>
      <c r="I14" s="45" t="str">
        <f t="shared" ca="1" si="0"/>
        <v/>
      </c>
      <c r="J14" s="45" t="str">
        <f t="shared" ca="1" si="0"/>
        <v/>
      </c>
      <c r="K14" s="45" t="str">
        <f t="shared" ca="1" si="0"/>
        <v/>
      </c>
      <c r="L14" s="45" t="str">
        <f>IF($B14&lt;&gt;"",1,"")</f>
        <v/>
      </c>
    </row>
    <row r="15" spans="1:14" x14ac:dyDescent="0.25">
      <c r="C15" s="92"/>
      <c r="D15" s="92"/>
      <c r="E15" s="92"/>
      <c r="F15" s="92"/>
      <c r="G15" s="92"/>
      <c r="H15" s="92"/>
      <c r="I15" s="92"/>
      <c r="J15" s="92"/>
      <c r="K15" s="92"/>
      <c r="L15" s="92"/>
    </row>
    <row r="16" spans="1:14" x14ac:dyDescent="0.25">
      <c r="A16" s="55" t="s">
        <v>1</v>
      </c>
      <c r="B16" s="83" t="str">
        <f>Data!B4</f>
        <v>Price</v>
      </c>
      <c r="C16" s="45">
        <f ca="1">IF(C4&lt;&gt;"",CORREL(Y,OFFSET(X,0,C3-1,n,1)),"")</f>
        <v>-0.65690996986665384</v>
      </c>
      <c r="D16" s="45">
        <f t="shared" ref="D16:L16" ca="1" si="1">IF(D4&lt;&gt;"",CORREL(Y,OFFSET(X,0,D3-1,n,1)),"")</f>
        <v>-3.9675063437098056E-2</v>
      </c>
      <c r="E16" s="45">
        <f t="shared" ca="1" si="1"/>
        <v>-0.61785959407695012</v>
      </c>
      <c r="F16" s="45">
        <f t="shared" ca="1" si="1"/>
        <v>0.4735267956394002</v>
      </c>
      <c r="G16" s="45">
        <f t="shared" ca="1" si="1"/>
        <v>0.11074564976472777</v>
      </c>
      <c r="H16" s="45">
        <f t="shared" ca="1" si="1"/>
        <v>8.5755991790944758E-2</v>
      </c>
      <c r="I16" s="45" t="str">
        <f t="shared" ca="1" si="1"/>
        <v/>
      </c>
      <c r="J16" s="45" t="str">
        <f t="shared" ca="1" si="1"/>
        <v/>
      </c>
      <c r="K16" s="45" t="str">
        <f t="shared" ca="1" si="1"/>
        <v/>
      </c>
      <c r="L16" s="45" t="str">
        <f t="shared" ca="1" si="1"/>
        <v/>
      </c>
    </row>
  </sheetData>
  <sheetProtection sheet="1" objects="1" scenarios="1"/>
  <phoneticPr fontId="14" type="noConversion"/>
  <printOptions headings="1"/>
  <pageMargins left="0.75" right="0.75" top="1" bottom="1" header="0.5" footer="0.5"/>
  <pageSetup orientation="landscape" horizontalDpi="100" verticalDpi="100" copies="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G11"/>
  <sheetViews>
    <sheetView showGridLines="0" workbookViewId="0">
      <selection activeCell="B26" sqref="B26"/>
    </sheetView>
  </sheetViews>
  <sheetFormatPr defaultRowHeight="13.2" x14ac:dyDescent="0.25"/>
  <cols>
    <col min="1" max="1" width="18" customWidth="1"/>
    <col min="2" max="2" width="16.6640625" customWidth="1"/>
    <col min="3" max="3" width="9" customWidth="1"/>
    <col min="4" max="4" width="4.88671875" customWidth="1"/>
    <col min="5" max="5" width="2.33203125" customWidth="1"/>
  </cols>
  <sheetData>
    <row r="1" spans="1:7" ht="15.6" x14ac:dyDescent="0.3">
      <c r="A1" s="41" t="s">
        <v>45</v>
      </c>
      <c r="C1" s="33" t="str">
        <f>Data!F1</f>
        <v>Exports</v>
      </c>
      <c r="D1" s="34"/>
      <c r="E1" s="35"/>
      <c r="F1" s="36"/>
    </row>
    <row r="3" spans="1:7" x14ac:dyDescent="0.25">
      <c r="C3" s="21" t="s">
        <v>55</v>
      </c>
      <c r="D3" s="14">
        <f ca="1">k</f>
        <v>6</v>
      </c>
      <c r="E3" s="16" t="s">
        <v>38</v>
      </c>
      <c r="F3" s="32"/>
    </row>
    <row r="4" spans="1:7" x14ac:dyDescent="0.25">
      <c r="C4" s="21" t="s">
        <v>52</v>
      </c>
      <c r="D4" s="13">
        <v>2</v>
      </c>
      <c r="E4" s="16" t="s">
        <v>50</v>
      </c>
      <c r="G4" s="7" t="s">
        <v>51</v>
      </c>
    </row>
    <row r="5" spans="1:7" x14ac:dyDescent="0.25">
      <c r="F5" s="7"/>
    </row>
    <row r="6" spans="1:7" ht="15.6" x14ac:dyDescent="0.35">
      <c r="B6" s="21" t="s">
        <v>49</v>
      </c>
      <c r="C6" s="14">
        <f ca="1">Results!C15</f>
        <v>962378993.87883711</v>
      </c>
    </row>
    <row r="7" spans="1:7" ht="15.6" x14ac:dyDescent="0.35">
      <c r="B7" s="21" t="s">
        <v>39</v>
      </c>
      <c r="C7" s="14">
        <f ca="1">IF(OR(D4=0,D4&gt;=k),"",INDEX(LINEST(Y,XR,TRUE,TRUE),5,2))</f>
        <v>986802461.73967862</v>
      </c>
    </row>
    <row r="8" spans="1:7" ht="13.8" thickBot="1" x14ac:dyDescent="0.3">
      <c r="B8" s="21"/>
    </row>
    <row r="9" spans="1:7" ht="13.8" thickBot="1" x14ac:dyDescent="0.3">
      <c r="B9" s="31" t="s">
        <v>43</v>
      </c>
      <c r="C9" s="52">
        <f ca="1">IF(C7="","",(C7-C6)/D4/(C6/(n-k-1)))</f>
        <v>2.4363093225785595</v>
      </c>
    </row>
    <row r="10" spans="1:7" x14ac:dyDescent="0.25">
      <c r="B10" s="55" t="s">
        <v>44</v>
      </c>
      <c r="C10" s="43">
        <f t="array" aca="1" ref="C10" ca="1">IF(C9="","",FDIST(C9,k-D4,n-k-1))</f>
        <v>4.8626073548230203E-2</v>
      </c>
    </row>
    <row r="11" spans="1:7" x14ac:dyDescent="0.25">
      <c r="C11" s="32"/>
    </row>
  </sheetData>
  <sheetProtection sheet="1" objects="1" scenarios="1"/>
  <phoneticPr fontId="14" type="noConversion"/>
  <printOptions headings="1" gridLinesSet="0"/>
  <pageMargins left="0.75" right="0.75" top="1" bottom="1" header="0.5" footer="0.5"/>
  <pageSetup orientation="landscape" horizontalDpi="100" verticalDpi="100" copies="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7</vt:i4>
      </vt:variant>
    </vt:vector>
  </HeadingPairs>
  <TitlesOfParts>
    <vt:vector size="12" baseType="lpstr">
      <vt:lpstr>Data</vt:lpstr>
      <vt:lpstr>Results</vt:lpstr>
      <vt:lpstr>Residuals</vt:lpstr>
      <vt:lpstr>Correl</vt:lpstr>
      <vt:lpstr>Partial F</vt:lpstr>
      <vt:lpstr>MSE</vt:lpstr>
      <vt:lpstr>Correl!Print_Area</vt:lpstr>
      <vt:lpstr>'Partial F'!Print_Area</vt:lpstr>
      <vt:lpstr>Residuals!Print_Area</vt:lpstr>
      <vt:lpstr>Results!Print_Area</vt:lpstr>
      <vt:lpstr>s</vt:lpstr>
      <vt:lpstr>X_Axis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Jayavel Sounderpandian</dc:creator>
  <cp:lastModifiedBy>txsa0424</cp:lastModifiedBy>
  <cp:lastPrinted>2001-05-07T08:13:48Z</cp:lastPrinted>
  <dcterms:created xsi:type="dcterms:W3CDTF">2000-08-01T06:38:25Z</dcterms:created>
  <dcterms:modified xsi:type="dcterms:W3CDTF">2025-02-18T03:20:50Z</dcterms:modified>
</cp:coreProperties>
</file>